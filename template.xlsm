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irconion\Documents\GitHub\Splatnet3-img-stat-grab\"/>
    </mc:Choice>
  </mc:AlternateContent>
  <xr:revisionPtr revIDLastSave="0" documentId="13_ncr:1_{09B19B82-DCA0-4E31-BC68-1A3587C6D8CF}" xr6:coauthVersionLast="47" xr6:coauthVersionMax="47" xr10:uidLastSave="{00000000-0000-0000-0000-000000000000}"/>
  <bookViews>
    <workbookView xWindow="-120" yWindow="-120" windowWidth="29040" windowHeight="15840" xr2:uid="{5BDE3EF6-FC83-477B-A4CA-B76B9C4F4B23}"/>
  </bookViews>
  <sheets>
    <sheet name="template" sheetId="1" r:id="rId1"/>
  </sheets>
  <externalReferences>
    <externalReference r:id="rId2"/>
    <externalReference r:id="rId3"/>
  </externalReferences>
  <definedNames>
    <definedName name="_xlpm.EventName" hidden="1" xlm="1">#NAME?</definedName>
    <definedName name="_xlpm.RoundNumber" hidden="1" xlm="1">#NAME?</definedName>
    <definedName name="_xlpm.TeamOne" hidden="1" xlm="1">#NAME?</definedName>
    <definedName name="_xlpm.TeamTwo" hidden="1" xlm="1">#NAME?</definedName>
    <definedName name="_xlpm.x" hidden="1" xlm="1">#NAME?</definedName>
    <definedName name="asdf">_xlfn.LAMBDA(_xlpm.TeamOne,_xlpm.TeamTwo,_xlpm.EventName,_xlpm.RoundNumber,RIGHT(100000000000+(MAX(_xlfn.XLOOKUP(_xlfn.VSTACK(_xlpm.TeamOne,_xlpm.TeamTwo),[2]!Team[Name],[2]!Team[Index],0,0))*100000000)+(MIN(_xlfn.XLOOKUP(_xlfn.VSTACK(_xlpm.TeamOne,_xlpm.TeamTwo),[2]!Team[Name],[2]!Team[Index],0,0))*100000+(_xlfn.XLOOKUP(_xlpm.EventName,[2]!Event[Name],[2]!Event[Index],0,0)*100)+(_xlpm.RoundNumber)),11))</definedName>
    <definedName name="IGN">[1]ValidationTables!$D$2:$D$478</definedName>
    <definedName name="ListSheets" comment="Generate list of tabs.">REPLACE(GET.WORKBOOK(1),1,FIND("]",GET.WORKBOOK(1)),"")</definedName>
    <definedName name="MLN" localSheetId="0">_xlfn.LAMBDA(_xlpm.TeamOne,_xlpm.TeamTwo,_xlpm.EventName,_xlpm.RoundNumber,RIGHT(100000000000+(MAX(_xlfn.XLOOKUP(_xlfn.VSTACK(_xlpm.TeamOne,_xlpm.TeamTwo),[1]!Team[Name],[1]!Team[Index],0,0))*100000000)+(MIN(_xlfn.XLOOKUP(_xlfn.VSTACK(_xlpm.TeamOne,_xlpm.TeamTwo),[1]!Team[Name],[1]!Team[Index],0,0))*100000+(_xlfn.XLOOKUP(_xlpm.EventName,[1]!Event[Name],[1]!Event[Index],0,0)*100)+(_xlpm.RoundNumber)),11))</definedName>
    <definedName name="MLN" comment="MLN denotes Match Lookup Number Input TeamName1, TeamName2, EventName, RoundNumber">_xlfn.LAMBDA(_xlpm.TeamOne,_xlpm.TeamTwo,_xlpm.EventName,_xlpm.RoundNumber,RIGHT(100000000000+(MAX(_xlfn.XLOOKUP(_xlfn.VSTACK(_xlpm.TeamOne,_xlpm.TeamTwo),[1]!Team[Name],[1]!Team[Index],0,0))*100000000)+(MIN(_xlfn.XLOOKUP(_xlfn.VSTACK(_xlpm.TeamOne,_xlpm.TeamTwo),[1]!Team[Name],[1]!Team[Index],0,0))*100000+(_xlfn.XLOOKUP(_xlpm.EventName,[1]!Event[Name],[1]!Event[Index],0,0)*100)+(_xlpm.RoundNumber)),11))</definedName>
    <definedName name="Teams">[1]ValidationTables!$C$2:$C$478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F2" i="1"/>
  <c r="G2" i="1"/>
  <c r="I2" i="1"/>
  <c r="J2" i="1"/>
  <c r="K2" i="1"/>
  <c r="L2" i="1"/>
  <c r="M2" i="1"/>
  <c r="N2" i="1"/>
  <c r="R2" i="1" a="1"/>
  <c r="R2" i="1" s="1"/>
  <c r="E3" i="1"/>
  <c r="F3" i="1"/>
  <c r="G3" i="1"/>
  <c r="I3" i="1"/>
  <c r="J3" i="1"/>
  <c r="K3" i="1"/>
  <c r="L3" i="1"/>
  <c r="M3" i="1"/>
  <c r="N3" i="1"/>
  <c r="D4" i="1"/>
  <c r="D5" i="1"/>
  <c r="A8" i="1"/>
  <c r="J8" i="1"/>
  <c r="A9" i="1" a="1"/>
  <c r="A9" i="1" s="1"/>
  <c r="A17" i="1" s="1" a="1"/>
  <c r="A17" i="1" s="1"/>
  <c r="A25" i="1" s="1" a="1"/>
  <c r="A25" i="1" s="1"/>
  <c r="A33" i="1" s="1" a="1"/>
  <c r="A33" i="1" s="1"/>
  <c r="A41" i="1" s="1" a="1"/>
  <c r="A41" i="1" s="1"/>
  <c r="A49" i="1" s="1" a="1"/>
  <c r="A49" i="1" s="1"/>
  <c r="A57" i="1" s="1" a="1"/>
  <c r="A57" i="1" s="1"/>
  <c r="A65" i="1" s="1" a="1"/>
  <c r="A65" i="1" s="1"/>
  <c r="A73" i="1" s="1" a="1"/>
  <c r="A73" i="1" s="1"/>
  <c r="J9" i="1" a="1"/>
  <c r="J9" i="1" s="1"/>
  <c r="J17" i="1" s="1" a="1"/>
  <c r="J17" i="1" s="1"/>
  <c r="J25" i="1" s="1" a="1"/>
  <c r="J25" i="1" s="1"/>
  <c r="J33" i="1" s="1" a="1"/>
  <c r="J33" i="1" s="1"/>
  <c r="J41" i="1" s="1" a="1"/>
  <c r="J41" i="1" s="1"/>
  <c r="J49" i="1" s="1" a="1"/>
  <c r="J49" i="1" s="1"/>
  <c r="J57" i="1" s="1" a="1"/>
  <c r="J57" i="1" s="1"/>
  <c r="J65" i="1" s="1" a="1"/>
  <c r="J65" i="1" s="1"/>
  <c r="J73" i="1" s="1" a="1"/>
  <c r="J73" i="1" s="1"/>
  <c r="H13" i="1" l="1"/>
  <c r="H70" i="1"/>
  <c r="H74" i="1"/>
  <c r="H65" i="1"/>
  <c r="H60" i="1"/>
  <c r="H56" i="1"/>
  <c r="H50" i="1"/>
  <c r="H46" i="1"/>
  <c r="H41" i="1"/>
  <c r="H36" i="1"/>
  <c r="H22" i="1"/>
  <c r="H80" i="1"/>
  <c r="Q80" i="1"/>
  <c r="Q74" i="1"/>
  <c r="Q70" i="1"/>
  <c r="Q60" i="1"/>
  <c r="Q56" i="1"/>
  <c r="Q50" i="1"/>
  <c r="Q46" i="1"/>
  <c r="Q36" i="1"/>
  <c r="Q32" i="1"/>
  <c r="Q26" i="1"/>
  <c r="Q22" i="1"/>
  <c r="Q12" i="1"/>
  <c r="H12" i="1"/>
  <c r="Q79" i="1"/>
  <c r="Q73" i="1"/>
  <c r="Q69" i="1"/>
  <c r="Q59" i="1"/>
  <c r="Q55" i="1"/>
  <c r="Q49" i="1"/>
  <c r="Q45" i="1"/>
  <c r="Q35" i="1"/>
  <c r="Q31" i="1"/>
  <c r="Q25" i="1"/>
  <c r="Q21" i="1"/>
  <c r="Q11" i="1"/>
  <c r="H79" i="1"/>
  <c r="H69" i="1"/>
  <c r="H59" i="1"/>
  <c r="H55" i="1"/>
  <c r="H45" i="1"/>
  <c r="H35" i="1"/>
  <c r="H31" i="1"/>
  <c r="H21" i="1"/>
  <c r="H11" i="1"/>
  <c r="Q78" i="1"/>
  <c r="Q68" i="1"/>
  <c r="Q64" i="1"/>
  <c r="Q58" i="1"/>
  <c r="Q54" i="1"/>
  <c r="Q44" i="1"/>
  <c r="Q40" i="1"/>
  <c r="Q34" i="1"/>
  <c r="Q30" i="1"/>
  <c r="Q20" i="1"/>
  <c r="Q16" i="1"/>
  <c r="Q10" i="1"/>
  <c r="H32" i="1"/>
  <c r="H17" i="1"/>
  <c r="H78" i="1"/>
  <c r="H73" i="1"/>
  <c r="H68" i="1"/>
  <c r="H64" i="1"/>
  <c r="H58" i="1"/>
  <c r="H54" i="1"/>
  <c r="H49" i="1"/>
  <c r="H44" i="1"/>
  <c r="H40" i="1"/>
  <c r="H34" i="1"/>
  <c r="H30" i="1"/>
  <c r="H25" i="1"/>
  <c r="H20" i="1"/>
  <c r="H16" i="1"/>
  <c r="H10" i="1"/>
  <c r="H26" i="1"/>
  <c r="Q77" i="1"/>
  <c r="Q67" i="1"/>
  <c r="Q63" i="1"/>
  <c r="Q57" i="1"/>
  <c r="Q53" i="1"/>
  <c r="Q43" i="1"/>
  <c r="Q39" i="1"/>
  <c r="Q33" i="1"/>
  <c r="Q29" i="1"/>
  <c r="Q19" i="1"/>
  <c r="Q15" i="1"/>
  <c r="Q9" i="1"/>
  <c r="H77" i="1"/>
  <c r="H67" i="1"/>
  <c r="H63" i="1"/>
  <c r="H53" i="1"/>
  <c r="H43" i="1"/>
  <c r="H39" i="1"/>
  <c r="H29" i="1"/>
  <c r="H19" i="1"/>
  <c r="H15" i="1"/>
  <c r="Q76" i="1"/>
  <c r="Q72" i="1"/>
  <c r="Q66" i="1"/>
  <c r="Q62" i="1"/>
  <c r="Q52" i="1"/>
  <c r="Q48" i="1"/>
  <c r="Q42" i="1"/>
  <c r="Q38" i="1"/>
  <c r="Q28" i="1"/>
  <c r="Q24" i="1"/>
  <c r="Q18" i="1"/>
  <c r="Q14" i="1"/>
  <c r="H76" i="1"/>
  <c r="H72" i="1"/>
  <c r="H66" i="1"/>
  <c r="H62" i="1"/>
  <c r="H57" i="1"/>
  <c r="H52" i="1"/>
  <c r="H48" i="1"/>
  <c r="H42" i="1"/>
  <c r="H38" i="1"/>
  <c r="H33" i="1"/>
  <c r="H28" i="1"/>
  <c r="H24" i="1"/>
  <c r="H18" i="1"/>
  <c r="H14" i="1"/>
  <c r="H9" i="1"/>
  <c r="Q75" i="1"/>
  <c r="Q71" i="1"/>
  <c r="Q65" i="1"/>
  <c r="Q61" i="1"/>
  <c r="Q51" i="1"/>
  <c r="Q47" i="1"/>
  <c r="Q41" i="1"/>
  <c r="Q37" i="1"/>
  <c r="Q27" i="1"/>
  <c r="Q23" i="1"/>
  <c r="Q17" i="1"/>
  <c r="Q13" i="1"/>
  <c r="H75" i="1"/>
  <c r="H71" i="1"/>
  <c r="H61" i="1"/>
  <c r="H51" i="1"/>
  <c r="H47" i="1"/>
  <c r="H37" i="1"/>
  <c r="H27" i="1"/>
  <c r="H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Jacob Tiegen</author>
  </authors>
  <commentList>
    <comment ref="R3" authorId="0" shapeId="0" xr:uid="{06AEA890-90E4-4D13-82EA-96CE40C3F25C}">
      <text>
        <r>
          <rPr>
            <b/>
            <u/>
            <sz val="9"/>
            <color indexed="81"/>
            <rFont val="Tahoma"/>
            <family val="2"/>
          </rPr>
          <t>DC Policy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If their paint value shows up</t>
        </r>
        <r>
          <rPr>
            <sz val="9"/>
            <color indexed="81"/>
            <rFont val="Tahoma"/>
            <family val="2"/>
          </rPr>
          <t xml:space="preserve"> on the screenshot, include their information.
</t>
        </r>
        <r>
          <rPr>
            <u/>
            <sz val="9"/>
            <color indexed="81"/>
            <rFont val="Tahoma"/>
            <family val="2"/>
          </rPr>
          <t>If it does not</t>
        </r>
        <r>
          <rPr>
            <sz val="9"/>
            <color indexed="81"/>
            <rFont val="Tahoma"/>
            <family val="2"/>
          </rPr>
          <t>, do not type anything, including weapon.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<sst xmlns="http://schemas.openxmlformats.org/spreadsheetml/2006/main" count="47" uniqueCount="31">
  <si>
    <t>Game 09</t>
  </si>
  <si>
    <t>Game 08</t>
  </si>
  <si>
    <t>Game 07</t>
  </si>
  <si>
    <t>Game 06</t>
  </si>
  <si>
    <t>Game 05</t>
  </si>
  <si>
    <t>Game 04</t>
  </si>
  <si>
    <t>Game 03</t>
  </si>
  <si>
    <t>Game 02</t>
  </si>
  <si>
    <t>Game 01</t>
  </si>
  <si>
    <t>GLN</t>
  </si>
  <si>
    <t>Specials</t>
  </si>
  <si>
    <t>Deaths</t>
  </si>
  <si>
    <t>Assists</t>
  </si>
  <si>
    <t>KA</t>
  </si>
  <si>
    <t>Paint</t>
  </si>
  <si>
    <t>Weapon</t>
  </si>
  <si>
    <t>Time</t>
  </si>
  <si>
    <t>Team B</t>
  </si>
  <si>
    <t>Team A</t>
  </si>
  <si>
    <t>Round</t>
  </si>
  <si>
    <t>DC Policy</t>
  </si>
  <si>
    <t>Mode</t>
  </si>
  <si>
    <t>Booyah Bowl 2</t>
  </si>
  <si>
    <t>Event</t>
  </si>
  <si>
    <t>MLN</t>
  </si>
  <si>
    <t>Map</t>
  </si>
  <si>
    <t>Håkon</t>
  </si>
  <si>
    <t>Preparer</t>
  </si>
  <si>
    <t>Game</t>
  </si>
  <si>
    <t>CCA Match Data Entry Form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</si>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</sst>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26"/>
      <color theme="1"/>
      <name val="Calibri"/>
      <family val="2"/>
      <scheme val="minor"/>
    </font>
    <font>
      <b/>
      <u/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13">
    <xf numFmtId="0" fontId="0" fillId="0" borderId="0" xfId="0"/>
    <xf numFmtId="0" fontId="3" fillId="0" borderId="3" xfId="0" applyFont="1" applyBorder="1" applyAlignment="1">
      <alignment vertical="center" textRotation="180"/>
    </xf>
    <xf numFmtId="0" fontId="0" fillId="0" borderId="4" xfId="0" applyBorder="1"/>
    <xf numFmtId="0" fontId="0" fillId="0" borderId="5" xfId="0" applyBorder="1"/>
    <xf numFmtId="0" fontId="3" fillId="0" borderId="6" xfId="0" applyFont="1" applyBorder="1" applyAlignment="1">
      <alignment vertical="center" textRotation="18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0" fontId="0" fillId="0" borderId="0" xfId="0" applyNumberFormat="1"/>
    <xf numFmtId="0" fontId="0" fillId="0" borderId="2" xfId="2" applyFont="1" applyFill="1"/>
    <xf numFmtId="1" fontId="2" fillId="0" borderId="1" xfId="1" applyNumberFormat="1" applyFill="1"/>
    <xf numFmtId="0" fontId="0" fillId="0" borderId="0" xfId="0" applyAlignment="1">
      <alignment horizontal="centerContinuous"/>
    </xf>
  </cellXfs>
  <cellStyles count="3">
    <cellStyle name="Calculation" xfId="1" builtinId="22"/>
    <cellStyle name="Normal" xfId="0" builtinId="0"/>
    <cellStyle name="Note" xfId="2" builtinId="10"/>
  </cellStyles>
  <dxfs count="1"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Zirconion\Downloads\CCA_Match_Data_Preparer_v0.5.xlsm" TargetMode="External"/><Relationship Id="rId1" Type="http://schemas.openxmlformats.org/officeDocument/2006/relationships/externalLinkPath" Target="/Users/Zirconion/Downloads/CCA_Match_Data_Preparer_v0.5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cob\Downloads\CCA_Match_Data_Entry_v1.0%20(1).xlsx" TargetMode="External"/><Relationship Id="rId1" Type="http://schemas.openxmlformats.org/officeDocument/2006/relationships/externalLinkPath" Target="/Users/Jacob/Downloads/CCA_Match_Data_Entry_v1.0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ccessDump"/>
      <sheetName val="04701680204"/>
      <sheetName val="02501680203"/>
      <sheetName val="01600980206"/>
      <sheetName val="00900280206"/>
      <sheetName val="00800380206"/>
      <sheetName val="01500380205"/>
      <sheetName val="00900180205"/>
      <sheetName val="08400280205"/>
      <sheetName val="00700280204"/>
      <sheetName val="01000980204"/>
      <sheetName val="02400180204"/>
      <sheetName val="05600380204"/>
      <sheetName val="03300380202"/>
      <sheetName val="04701580203"/>
      <sheetName val="01000780203"/>
      <sheetName val="02200380201"/>
      <sheetName val="Intro"/>
      <sheetName val="ValidationTables"/>
      <sheetName val="Horizontal"/>
      <sheetName val="Vertical (Coming Soon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 t="str">
            <v xml:space="preserve">[HU] Volatile Radiance </v>
          </cell>
          <cell r="D2" t="str">
            <v>AshySlashy#7827</v>
          </cell>
        </row>
        <row r="3">
          <cell r="C3" t="str">
            <v xml:space="preserve">[HU] Volatile Radiance </v>
          </cell>
          <cell r="D3" t="str">
            <v>Captain N#1792</v>
          </cell>
        </row>
        <row r="4">
          <cell r="C4" t="str">
            <v xml:space="preserve">[HU] Volatile Radiance </v>
          </cell>
          <cell r="D4" t="str">
            <v>DKL#2531</v>
          </cell>
        </row>
        <row r="5">
          <cell r="C5" t="str">
            <v xml:space="preserve">[HU] Volatile Radiance </v>
          </cell>
          <cell r="D5" t="str">
            <v>SAINT#2079</v>
          </cell>
        </row>
        <row r="6">
          <cell r="C6" t="str">
            <v xml:space="preserve">[HU] Volatile Radiance </v>
          </cell>
          <cell r="D6" t="str">
            <v>Sphynx#1430</v>
          </cell>
        </row>
        <row r="7">
          <cell r="C7" t="str">
            <v xml:space="preserve">[HU] Volatile Radiance </v>
          </cell>
          <cell r="D7" t="str">
            <v>Sychie#1064</v>
          </cell>
        </row>
        <row r="8">
          <cell r="C8" t="str">
            <v>[WCE] Wet Cod Empire</v>
          </cell>
          <cell r="D8" t="str">
            <v>[WCE]Magna#1097</v>
          </cell>
        </row>
        <row r="9">
          <cell r="C9" t="str">
            <v>[WCE] Wet Cod Empire</v>
          </cell>
          <cell r="D9" t="str">
            <v>WCE Gick76#1445</v>
          </cell>
        </row>
        <row r="10">
          <cell r="C10" t="str">
            <v>[WCE] Wet Cod Empire</v>
          </cell>
          <cell r="D10" t="str">
            <v>WCE Ivy#3067</v>
          </cell>
        </row>
        <row r="11">
          <cell r="C11" t="str">
            <v>[WCE] Wet Cod Empire</v>
          </cell>
          <cell r="D11" t="str">
            <v>WCE PClip#2464</v>
          </cell>
        </row>
        <row r="12">
          <cell r="C12" t="str">
            <v>[WCE] Wet Cod Empire</v>
          </cell>
          <cell r="D12" t="str">
            <v>WCE Poofy#9498</v>
          </cell>
        </row>
        <row r="13">
          <cell r="C13" t="str">
            <v>[WCE] Wet Cod Empire</v>
          </cell>
          <cell r="D13" t="str">
            <v>WCESpartan#1216</v>
          </cell>
        </row>
        <row r="14">
          <cell r="C14" t="str">
            <v>Axolotl Airlines</v>
          </cell>
          <cell r="D14" t="str">
            <v>Beard48#5201</v>
          </cell>
        </row>
        <row r="15">
          <cell r="C15" t="str">
            <v>Axolotl Airlines</v>
          </cell>
          <cell r="D15" t="str">
            <v>Clioni#9306</v>
          </cell>
        </row>
        <row r="16">
          <cell r="C16" t="str">
            <v>Axolotl Airlines</v>
          </cell>
          <cell r="D16" t="str">
            <v>Isabelle#2927</v>
          </cell>
        </row>
        <row r="17">
          <cell r="C17" t="str">
            <v>Axolotl Airlines</v>
          </cell>
          <cell r="D17" t="str">
            <v>Masq#1220</v>
          </cell>
        </row>
        <row r="18">
          <cell r="C18" t="str">
            <v>Axolotl Airlines</v>
          </cell>
          <cell r="D18" t="str">
            <v>spl0rped#4076</v>
          </cell>
        </row>
        <row r="19">
          <cell r="C19" t="str">
            <v>Axolotl Airlines</v>
          </cell>
          <cell r="D19" t="str">
            <v>Teeths#2749</v>
          </cell>
        </row>
        <row r="20">
          <cell r="C20" t="str">
            <v>Barracuda</v>
          </cell>
          <cell r="D20" t="str">
            <v>Conamic#1908</v>
          </cell>
        </row>
        <row r="21">
          <cell r="C21" t="str">
            <v>Barracuda</v>
          </cell>
          <cell r="D21" t="str">
            <v>Gummie#1813</v>
          </cell>
        </row>
        <row r="22">
          <cell r="C22" t="str">
            <v>Barracuda</v>
          </cell>
          <cell r="D22" t="str">
            <v>Jp#4525</v>
          </cell>
        </row>
        <row r="23">
          <cell r="C23" t="str">
            <v>Barracuda</v>
          </cell>
          <cell r="D23" t="str">
            <v>Philpro#1384</v>
          </cell>
        </row>
        <row r="24">
          <cell r="C24" t="str">
            <v>Barracuda</v>
          </cell>
          <cell r="D24" t="str">
            <v>TravelerCJ#1618</v>
          </cell>
        </row>
        <row r="25">
          <cell r="C25" t="str">
            <v>Barracuda</v>
          </cell>
          <cell r="D25" t="str">
            <v>Bagel#1138</v>
          </cell>
        </row>
        <row r="26">
          <cell r="C26" t="str">
            <v>BASH</v>
          </cell>
          <cell r="D26" t="str">
            <v>※ Niemo ※#2735</v>
          </cell>
        </row>
        <row r="27">
          <cell r="C27" t="str">
            <v>BASH</v>
          </cell>
          <cell r="D27" t="str">
            <v>※AshBill※#2065</v>
          </cell>
        </row>
        <row r="28">
          <cell r="C28" t="str">
            <v>BASH</v>
          </cell>
          <cell r="D28" t="str">
            <v>※Cynthia※#1716</v>
          </cell>
        </row>
        <row r="29">
          <cell r="C29" t="str">
            <v>BASH</v>
          </cell>
          <cell r="D29" t="str">
            <v>※Rooster※#2731</v>
          </cell>
        </row>
        <row r="30">
          <cell r="C30" t="str">
            <v>BASH</v>
          </cell>
          <cell r="D30" t="str">
            <v>※Warmunk※#2205</v>
          </cell>
        </row>
        <row r="31">
          <cell r="C31" t="str">
            <v>Boilermaker Special</v>
          </cell>
          <cell r="D31" t="str">
            <v>「Δ」YOOM!</v>
          </cell>
        </row>
        <row r="32">
          <cell r="C32" t="str">
            <v>Boilermaker Special</v>
          </cell>
          <cell r="D32" t="str">
            <v>Asterum</v>
          </cell>
        </row>
        <row r="33">
          <cell r="C33" t="str">
            <v>Boilermaker Special</v>
          </cell>
          <cell r="D33" t="str">
            <v>BASIL</v>
          </cell>
        </row>
        <row r="34">
          <cell r="C34" t="str">
            <v>Boilermaker Special</v>
          </cell>
          <cell r="D34" t="str">
            <v>くRSミtoastγ</v>
          </cell>
        </row>
        <row r="35">
          <cell r="C35" t="str">
            <v>Carne Inksada Fries</v>
          </cell>
          <cell r="D35" t="str">
            <v>⼺⼕&gt;:0#2918</v>
          </cell>
        </row>
        <row r="36">
          <cell r="C36" t="str">
            <v>Carne Inksada Fries</v>
          </cell>
          <cell r="D36" t="str">
            <v>⼺⼕blorbo!#1145</v>
          </cell>
        </row>
        <row r="37">
          <cell r="C37" t="str">
            <v>Carne Inksada Fries</v>
          </cell>
          <cell r="D37" t="str">
            <v>⼺⼕DreamZ#4422</v>
          </cell>
        </row>
        <row r="38">
          <cell r="C38" t="str">
            <v>Carne Inksada Fries</v>
          </cell>
          <cell r="D38" t="str">
            <v>⼺⼕enzø#1058</v>
          </cell>
        </row>
        <row r="39">
          <cell r="C39" t="str">
            <v>Carne Inksada Fries</v>
          </cell>
          <cell r="D39" t="str">
            <v>⼺⼕Insn0Kat#3158</v>
          </cell>
        </row>
        <row r="40">
          <cell r="C40" t="str">
            <v>Carne Inksada Fries</v>
          </cell>
          <cell r="D40" t="str">
            <v>⼺⼕ŠR†WꞵRR¥#3091</v>
          </cell>
        </row>
        <row r="41">
          <cell r="C41" t="str">
            <v>Carne Inksada Fries</v>
          </cell>
          <cell r="D41" t="str">
            <v>⼺⼕tIFFu#2104</v>
          </cell>
        </row>
        <row r="42">
          <cell r="C42" t="str">
            <v>Carne Inksada Fries</v>
          </cell>
          <cell r="D42" t="str">
            <v>⼺コ Dashing#2800</v>
          </cell>
        </row>
        <row r="43">
          <cell r="C43" t="str">
            <v>Carne Inksada Fries</v>
          </cell>
          <cell r="D43" t="str">
            <v>ミコ seyer#5637</v>
          </cell>
        </row>
        <row r="44">
          <cell r="C44" t="str">
            <v>Clark University</v>
          </cell>
          <cell r="D44" t="str">
            <v>Egg#2035</v>
          </cell>
        </row>
        <row r="45">
          <cell r="C45" t="str">
            <v>Clark University</v>
          </cell>
          <cell r="D45" t="str">
            <v>Rossane#1669</v>
          </cell>
        </row>
        <row r="46">
          <cell r="C46" t="str">
            <v>Clark University</v>
          </cell>
          <cell r="D46" t="str">
            <v>The Player#6763</v>
          </cell>
        </row>
        <row r="47">
          <cell r="C47" t="str">
            <v>Clark University</v>
          </cell>
          <cell r="D47" t="str">
            <v>Weird One#2745</v>
          </cell>
        </row>
        <row r="48">
          <cell r="C48" t="str">
            <v>Coastal Calamari</v>
          </cell>
          <cell r="D48" t="str">
            <v>Build#2549</v>
          </cell>
        </row>
        <row r="49">
          <cell r="C49" t="str">
            <v>Coastal Calamari</v>
          </cell>
          <cell r="D49" t="str">
            <v>FrostBite#4293</v>
          </cell>
        </row>
        <row r="50">
          <cell r="C50" t="str">
            <v>Coastal Calamari</v>
          </cell>
          <cell r="D50" t="str">
            <v>Kit#3298</v>
          </cell>
        </row>
        <row r="51">
          <cell r="C51" t="str">
            <v>Coastal Calamari</v>
          </cell>
          <cell r="D51" t="str">
            <v>Kujo#2453</v>
          </cell>
        </row>
        <row r="52">
          <cell r="C52" t="str">
            <v>Coastal Calamari</v>
          </cell>
          <cell r="D52" t="str">
            <v>Raine#2320</v>
          </cell>
        </row>
        <row r="53">
          <cell r="C53" t="str">
            <v>Coastal Calamari</v>
          </cell>
          <cell r="D53" t="str">
            <v>Shells#2403</v>
          </cell>
        </row>
        <row r="54">
          <cell r="C54" t="str">
            <v>Coastal Calamari</v>
          </cell>
          <cell r="D54" t="str">
            <v>Squiddly D#1144</v>
          </cell>
        </row>
        <row r="55">
          <cell r="C55" t="str">
            <v>Coastal Calamari</v>
          </cell>
          <cell r="D55" t="str">
            <v>WhöAml?#3024</v>
          </cell>
        </row>
        <row r="56">
          <cell r="C56" t="str">
            <v>Coastal Squid Surge</v>
          </cell>
          <cell r="D56" t="str">
            <v>CSS◇Chai#3277</v>
          </cell>
        </row>
        <row r="57">
          <cell r="C57" t="str">
            <v>Coastal Squid Surge</v>
          </cell>
          <cell r="D57" t="str">
            <v>CSS◇IDEA#2854</v>
          </cell>
        </row>
        <row r="58">
          <cell r="C58" t="str">
            <v>Coastal Squid Surge</v>
          </cell>
          <cell r="D58" t="str">
            <v>CSS◇Kiza#2809</v>
          </cell>
        </row>
        <row r="59">
          <cell r="C59" t="str">
            <v>Coastal Squid Surge</v>
          </cell>
          <cell r="D59" t="str">
            <v>CSS◇Peachy#9888</v>
          </cell>
        </row>
        <row r="60">
          <cell r="C60" t="str">
            <v>Comet Blasters</v>
          </cell>
          <cell r="D60" t="str">
            <v>Neato</v>
          </cell>
        </row>
        <row r="61">
          <cell r="C61" t="str">
            <v>Comet Task Force</v>
          </cell>
          <cell r="D61" t="str">
            <v>McLongboy#1606</v>
          </cell>
        </row>
        <row r="62">
          <cell r="C62" t="str">
            <v>Comet Task Force</v>
          </cell>
          <cell r="D62" t="str">
            <v>Momo⏜*#6384</v>
          </cell>
        </row>
        <row r="63">
          <cell r="C63" t="str">
            <v>Comet Task Force</v>
          </cell>
          <cell r="D63" t="str">
            <v>ninety⏜*#2236</v>
          </cell>
        </row>
        <row r="64">
          <cell r="C64" t="str">
            <v>Comet Task Force</v>
          </cell>
          <cell r="D64" t="str">
            <v>Saffy#1132</v>
          </cell>
        </row>
        <row r="65">
          <cell r="C65" t="str">
            <v>daybreak</v>
          </cell>
          <cell r="D65" t="str">
            <v>LG|amigo#2039</v>
          </cell>
        </row>
        <row r="66">
          <cell r="C66" t="str">
            <v>daybreak</v>
          </cell>
          <cell r="D66" t="str">
            <v>LG|Berny#2523</v>
          </cell>
        </row>
        <row r="67">
          <cell r="C67" t="str">
            <v>daybreak</v>
          </cell>
          <cell r="D67" t="str">
            <v>LG|Bml#2702</v>
          </cell>
        </row>
        <row r="68">
          <cell r="C68" t="str">
            <v>daybreak</v>
          </cell>
          <cell r="D68" t="str">
            <v>LG|JBYoshi#7013</v>
          </cell>
        </row>
        <row r="69">
          <cell r="C69" t="str">
            <v>daybreak</v>
          </cell>
          <cell r="D69" t="str">
            <v>LG|nico!!#1146</v>
          </cell>
        </row>
        <row r="70">
          <cell r="C70" t="str">
            <v>daybreak</v>
          </cell>
          <cell r="D70" t="str">
            <v>LG|Яηoodlε#2427</v>
          </cell>
        </row>
        <row r="71">
          <cell r="C71" t="str">
            <v>Deepsea Miners</v>
          </cell>
          <cell r="D71" t="str">
            <v>△△Demic#3034</v>
          </cell>
        </row>
        <row r="72">
          <cell r="C72" t="str">
            <v>Deepsea Miners</v>
          </cell>
          <cell r="D72" t="str">
            <v>↓βJaySlosh#3133</v>
          </cell>
        </row>
        <row r="73">
          <cell r="C73" t="str">
            <v>Deepsea Miners</v>
          </cell>
          <cell r="D73" t="str">
            <v>eugh#1074</v>
          </cell>
        </row>
        <row r="74">
          <cell r="C74" t="str">
            <v>Deepsea Miners</v>
          </cell>
          <cell r="D74" t="str">
            <v>ΔΔBOnk#1947</v>
          </cell>
        </row>
        <row r="75">
          <cell r="C75" t="str">
            <v>Deepsea Miners</v>
          </cell>
          <cell r="D75" t="str">
            <v>ΔΔGeo#9585</v>
          </cell>
        </row>
        <row r="76">
          <cell r="C76" t="str">
            <v>DPU Hagglefish Hackers</v>
          </cell>
          <cell r="D76" t="str">
            <v>Airic#3082</v>
          </cell>
        </row>
        <row r="77">
          <cell r="C77" t="str">
            <v>DPU Hagglefish Hackers</v>
          </cell>
          <cell r="D77" t="str">
            <v>I AM Allyn#1592</v>
          </cell>
        </row>
        <row r="78">
          <cell r="C78" t="str">
            <v>DPU Hagglefish Hackers</v>
          </cell>
          <cell r="D78" t="str">
            <v>Matthew#2457</v>
          </cell>
        </row>
        <row r="79">
          <cell r="C79" t="str">
            <v>DPU Hagglefish Hackers</v>
          </cell>
          <cell r="D79" t="str">
            <v>Midknight#2081</v>
          </cell>
        </row>
        <row r="80">
          <cell r="C80" t="str">
            <v>DPU Hagglefish Hackers</v>
          </cell>
          <cell r="D80" t="str">
            <v>wr&gt;&gt;fish#1286</v>
          </cell>
        </row>
        <row r="81">
          <cell r="C81" t="str">
            <v>DSU Splat team</v>
          </cell>
          <cell r="D81" t="str">
            <v>Cryo Fox #1489</v>
          </cell>
        </row>
        <row r="82">
          <cell r="C82" t="str">
            <v>DSU Splat team</v>
          </cell>
          <cell r="D82" t="str">
            <v>Freez#1488</v>
          </cell>
        </row>
        <row r="83">
          <cell r="C83" t="str">
            <v>DSU Splat team</v>
          </cell>
          <cell r="D83" t="str">
            <v>Leaf #2167</v>
          </cell>
        </row>
        <row r="84">
          <cell r="C84" t="str">
            <v>DSU Splat team</v>
          </cell>
          <cell r="D84" t="str">
            <v>takuyaki#1668</v>
          </cell>
        </row>
        <row r="85">
          <cell r="C85" t="str">
            <v>DU Soulblaze</v>
          </cell>
          <cell r="D85" t="str">
            <v>shy#2506</v>
          </cell>
        </row>
        <row r="86">
          <cell r="C86" t="str">
            <v>DU Soulblaze</v>
          </cell>
          <cell r="D86" t="str">
            <v>δ² Jorp#2563</v>
          </cell>
        </row>
        <row r="87">
          <cell r="C87" t="str">
            <v>DU Soulblaze</v>
          </cell>
          <cell r="D87" t="str">
            <v xml:space="preserve">δ² melon!#6277 </v>
          </cell>
        </row>
        <row r="88">
          <cell r="C88" t="str">
            <v>DU Soulblaze</v>
          </cell>
          <cell r="D88" t="str">
            <v>δ² Riffy#1133</v>
          </cell>
        </row>
        <row r="89">
          <cell r="C89" t="str">
            <v>DU Soulblaze</v>
          </cell>
          <cell r="D89" t="str">
            <v>δ² Yakidge#2279</v>
          </cell>
        </row>
        <row r="90">
          <cell r="C90" t="str">
            <v>DU Soulblaze</v>
          </cell>
          <cell r="D90" t="str">
            <v>δ²HomuraHi#1195</v>
          </cell>
        </row>
        <row r="91">
          <cell r="C91" t="str">
            <v>EaUCD Banana Split</v>
          </cell>
          <cell r="D91" t="str">
            <v>ave™#6132</v>
          </cell>
        </row>
        <row r="92">
          <cell r="C92" t="str">
            <v>EaUCD Banana Split</v>
          </cell>
          <cell r="D92" t="str">
            <v>BananaAbby#5618</v>
          </cell>
        </row>
        <row r="93">
          <cell r="C93" t="str">
            <v>EaUCD Banana Split</v>
          </cell>
          <cell r="D93" t="str">
            <v>jonny#3294</v>
          </cell>
        </row>
        <row r="94">
          <cell r="C94" t="str">
            <v>EaUCD Banana Split</v>
          </cell>
          <cell r="D94" t="str">
            <v>Lemon &gt;x&lt; #1739</v>
          </cell>
        </row>
        <row r="95">
          <cell r="C95" t="str">
            <v>EaUCD Banana Split</v>
          </cell>
          <cell r="D95" t="str">
            <v>LycheeAbby#1987</v>
          </cell>
        </row>
        <row r="96">
          <cell r="C96" t="str">
            <v>EaUCD Banana Split</v>
          </cell>
          <cell r="D96" t="str">
            <v>Noel™#3190</v>
          </cell>
        </row>
        <row r="97">
          <cell r="C97" t="str">
            <v>EaUCD Banana Split</v>
          </cell>
          <cell r="D97" t="str">
            <v>wickett#1071</v>
          </cell>
        </row>
        <row r="98">
          <cell r="C98" t="str">
            <v>EaUCD Banana Split</v>
          </cell>
          <cell r="D98" t="str">
            <v>αve™#6132</v>
          </cell>
        </row>
        <row r="99">
          <cell r="C99" t="str">
            <v>EaUCD Banana Split</v>
          </cell>
          <cell r="D99" t="str">
            <v>あやしいレモン＝д＝#2529</v>
          </cell>
        </row>
        <row r="100">
          <cell r="C100" t="str">
            <v>Farmingdale Rams</v>
          </cell>
          <cell r="D100" t="str">
            <v>Deaft#2011</v>
          </cell>
        </row>
        <row r="101">
          <cell r="C101" t="str">
            <v>Farmingdale Rams</v>
          </cell>
          <cell r="D101" t="str">
            <v>Dystortr#2702</v>
          </cell>
        </row>
        <row r="102">
          <cell r="C102" t="str">
            <v>Farmingdale Rams</v>
          </cell>
          <cell r="D102" t="str">
            <v>Jasmine#2176</v>
          </cell>
        </row>
        <row r="103">
          <cell r="C103" t="str">
            <v>Farmingdale Rams</v>
          </cell>
          <cell r="D103" t="str">
            <v>MSCard#7697</v>
          </cell>
        </row>
        <row r="104">
          <cell r="C104" t="str">
            <v>Farmingdale Rams</v>
          </cell>
          <cell r="D104" t="str">
            <v>Myst#1737</v>
          </cell>
        </row>
        <row r="105">
          <cell r="C105" t="str">
            <v>Farmingdale Rams</v>
          </cell>
          <cell r="D105" t="str">
            <v>PACEthplyr#4830</v>
          </cell>
        </row>
        <row r="106">
          <cell r="C106" t="str">
            <v>FGCU Thunderbirds</v>
          </cell>
          <cell r="D106" t="str">
            <v>Logo#1380</v>
          </cell>
        </row>
        <row r="107">
          <cell r="C107" t="str">
            <v>FGCU Thunderbirds</v>
          </cell>
          <cell r="D107" t="str">
            <v>Marsh#1373</v>
          </cell>
        </row>
        <row r="108">
          <cell r="C108" t="str">
            <v>FGCU Thunderbirds</v>
          </cell>
          <cell r="D108" t="str">
            <v>Mr.L#1782</v>
          </cell>
        </row>
        <row r="109">
          <cell r="C109" t="str">
            <v>FGCU Thunderbirds</v>
          </cell>
          <cell r="D109" t="str">
            <v>Ron#3200</v>
          </cell>
        </row>
        <row r="110">
          <cell r="C110" t="str">
            <v>GMU Patriots</v>
          </cell>
          <cell r="D110" t="str">
            <v>◆Deuce◆#1739</v>
          </cell>
        </row>
        <row r="111">
          <cell r="C111" t="str">
            <v>GMU Patriots</v>
          </cell>
          <cell r="D111" t="str">
            <v>Euphaa#1114</v>
          </cell>
        </row>
        <row r="112">
          <cell r="C112" t="str">
            <v>GMU Patriots</v>
          </cell>
          <cell r="D112" t="str">
            <v>GMU|TX7DRW#1737</v>
          </cell>
        </row>
        <row r="113">
          <cell r="C113" t="str">
            <v>GMU Patriots</v>
          </cell>
          <cell r="D113" t="str">
            <v>Kai#1715</v>
          </cell>
        </row>
        <row r="114">
          <cell r="C114" t="str">
            <v>GMU Patriots</v>
          </cell>
          <cell r="D114" t="str">
            <v>Nexlation#3348</v>
          </cell>
        </row>
        <row r="115">
          <cell r="C115" t="str">
            <v>GMU Patriots</v>
          </cell>
          <cell r="D115" t="str">
            <v>Phrog#7325</v>
          </cell>
        </row>
        <row r="116">
          <cell r="C116" t="str">
            <v>Goomies</v>
          </cell>
          <cell r="D116" t="str">
            <v xml:space="preserve"> kale°⸪•*.#2886</v>
          </cell>
        </row>
        <row r="117">
          <cell r="C117" t="str">
            <v>Goomies</v>
          </cell>
          <cell r="D117" t="str">
            <v>Bubble#2414</v>
          </cell>
        </row>
        <row r="118">
          <cell r="C118" t="str">
            <v>Goomies</v>
          </cell>
          <cell r="D118" t="str">
            <v>Rare#3223</v>
          </cell>
        </row>
        <row r="119">
          <cell r="C119" t="str">
            <v>Goomies</v>
          </cell>
          <cell r="D119" t="str">
            <v>rng_#4920</v>
          </cell>
        </row>
        <row r="120">
          <cell r="C120" t="str">
            <v>Goomies</v>
          </cell>
          <cell r="D120" t="str">
            <v>Satii#2341</v>
          </cell>
        </row>
        <row r="121">
          <cell r="C121" t="str">
            <v>Griffink</v>
          </cell>
          <cell r="D121" t="str">
            <v>Cavaroc#2984</v>
          </cell>
        </row>
        <row r="122">
          <cell r="C122" t="str">
            <v>Griffink</v>
          </cell>
          <cell r="D122" t="str">
            <v>Hegemony#1807</v>
          </cell>
        </row>
        <row r="123">
          <cell r="C123" t="str">
            <v>Griffink</v>
          </cell>
          <cell r="D123" t="str">
            <v>Johnnyboy#2848</v>
          </cell>
        </row>
        <row r="124">
          <cell r="C124" t="str">
            <v>Griffink</v>
          </cell>
          <cell r="D124" t="str">
            <v>piccle#3092</v>
          </cell>
        </row>
        <row r="125">
          <cell r="C125" t="str">
            <v>Griffink</v>
          </cell>
          <cell r="D125" t="str">
            <v>Titanium#6641</v>
          </cell>
        </row>
        <row r="126">
          <cell r="C126" t="str">
            <v>Grizzco Workers Union</v>
          </cell>
          <cell r="D126" t="str">
            <v>Ms. L &lt;3#1301</v>
          </cell>
        </row>
        <row r="127">
          <cell r="C127" t="str">
            <v>Grizzco Workers Union</v>
          </cell>
          <cell r="D127" t="str">
            <v>Nep2ne#2294</v>
          </cell>
        </row>
        <row r="128">
          <cell r="C128" t="str">
            <v>Grizzco Workers Union</v>
          </cell>
          <cell r="D128" t="str">
            <v>wπ Fr0stα#1807</v>
          </cell>
        </row>
        <row r="129">
          <cell r="C129" t="str">
            <v>Grizzco Workers Union</v>
          </cell>
          <cell r="D129" t="str">
            <v>Wπ Garrett#1079</v>
          </cell>
        </row>
        <row r="130">
          <cell r="C130" t="str">
            <v>Grizzco Workers Union</v>
          </cell>
          <cell r="D130" t="str">
            <v>wπ Justin#1955</v>
          </cell>
        </row>
        <row r="131">
          <cell r="C131" t="str">
            <v>Grizzco Workers Union</v>
          </cell>
          <cell r="D131" t="str">
            <v>wπ Krona#7574</v>
          </cell>
        </row>
        <row r="132">
          <cell r="C132" t="str">
            <v>Grizzco Workers Union</v>
          </cell>
          <cell r="D132" t="str">
            <v>wπ Point#1141</v>
          </cell>
        </row>
        <row r="133">
          <cell r="C133" t="str">
            <v>Grizzco Workers Union</v>
          </cell>
          <cell r="D133" t="str">
            <v>Wπ RKTFUEL#1654</v>
          </cell>
        </row>
        <row r="134">
          <cell r="C134" t="str">
            <v>Hofstra Lionfish</v>
          </cell>
          <cell r="D134" t="str">
            <v>Aquarsene#9407</v>
          </cell>
        </row>
        <row r="135">
          <cell r="C135" t="str">
            <v>Hofstra Lionfish</v>
          </cell>
          <cell r="D135" t="str">
            <v>Cygnus#24550</v>
          </cell>
        </row>
        <row r="136">
          <cell r="C136" t="str">
            <v>Hofstra Lionfish</v>
          </cell>
          <cell r="D136" t="str">
            <v>Deth#8979</v>
          </cell>
        </row>
        <row r="137">
          <cell r="C137" t="str">
            <v>Hofstra Lionfish</v>
          </cell>
          <cell r="D137" t="str">
            <v>Hunter#11042</v>
          </cell>
        </row>
        <row r="138">
          <cell r="C138" t="str">
            <v>Hofstra Lionfish</v>
          </cell>
          <cell r="D138" t="str">
            <v>Keeogree#1393</v>
          </cell>
        </row>
        <row r="139">
          <cell r="C139" t="str">
            <v>Hofstra Lionfish</v>
          </cell>
          <cell r="D139" t="str">
            <v>Tooooaaaad#3174</v>
          </cell>
        </row>
        <row r="140">
          <cell r="C140" t="str">
            <v>Husky Splatsville Knights</v>
          </cell>
          <cell r="D140" t="str">
            <v>☆Nexus☆#1262</v>
          </cell>
        </row>
        <row r="141">
          <cell r="C141" t="str">
            <v>Husky Splatsville Knights</v>
          </cell>
          <cell r="D141" t="str">
            <v>iggpig#3194</v>
          </cell>
        </row>
        <row r="142">
          <cell r="C142" t="str">
            <v>Husky Splatsville Knights</v>
          </cell>
          <cell r="D142" t="str">
            <v>Juanni#8004</v>
          </cell>
        </row>
        <row r="143">
          <cell r="C143" t="str">
            <v>Husky Splatsville Knights</v>
          </cell>
          <cell r="D143" t="str">
            <v>Kye#2937</v>
          </cell>
        </row>
        <row r="144">
          <cell r="C144" t="str">
            <v>Husky Splatsville Knights</v>
          </cell>
          <cell r="D144" t="str">
            <v>Oliy#1079</v>
          </cell>
        </row>
        <row r="145">
          <cell r="C145" t="str">
            <v>Husky Splatsville Knights</v>
          </cell>
          <cell r="D145" t="str">
            <v>Samy :3#1022</v>
          </cell>
        </row>
        <row r="146">
          <cell r="C146" t="str">
            <v>Husky Splatsville Knights</v>
          </cell>
          <cell r="D146" t="str">
            <v>Valiant#2211</v>
          </cell>
        </row>
        <row r="147">
          <cell r="C147" t="str">
            <v>IVC Devil Rays</v>
          </cell>
          <cell r="D147" t="str">
            <v>★Neo★#2066</v>
          </cell>
        </row>
        <row r="148">
          <cell r="C148" t="str">
            <v>IVC Devil Rays</v>
          </cell>
          <cell r="D148" t="str">
            <v>ivc jk#5288</v>
          </cell>
        </row>
        <row r="149">
          <cell r="C149" t="str">
            <v>IVC Devil Rays</v>
          </cell>
          <cell r="D149" t="str">
            <v>Marguerite#1405</v>
          </cell>
        </row>
        <row r="150">
          <cell r="C150" t="str">
            <v>IVC Devil Rays</v>
          </cell>
          <cell r="D150" t="str">
            <v>oh no#3245</v>
          </cell>
        </row>
        <row r="151">
          <cell r="C151" t="str">
            <v>IVC Diamond Rays</v>
          </cell>
          <cell r="D151" t="str">
            <v>CommieFry#3341</v>
          </cell>
        </row>
        <row r="152">
          <cell r="C152" t="str">
            <v>IVC Diamond Rays</v>
          </cell>
          <cell r="D152" t="str">
            <v>Frosty!#3217</v>
          </cell>
        </row>
        <row r="153">
          <cell r="C153" t="str">
            <v>IVC Diamond Rays</v>
          </cell>
          <cell r="D153" t="str">
            <v>Sapphire#2257</v>
          </cell>
        </row>
        <row r="154">
          <cell r="C154" t="str">
            <v>IVC Diamond Rays</v>
          </cell>
          <cell r="D154" t="str">
            <v>Shabby#1385</v>
          </cell>
        </row>
        <row r="155">
          <cell r="C155" t="str">
            <v>IVC Diamond Rays</v>
          </cell>
          <cell r="D155" t="str">
            <v>soap c:#1917</v>
          </cell>
        </row>
        <row r="156">
          <cell r="C156" t="str">
            <v>IVC Diamond Rays</v>
          </cell>
          <cell r="D156" t="str">
            <v>userless#2772</v>
          </cell>
        </row>
        <row r="157">
          <cell r="C157" t="str">
            <v>Knight Sharks</v>
          </cell>
          <cell r="D157" t="str">
            <v>Armii#1227</v>
          </cell>
        </row>
        <row r="158">
          <cell r="C158" t="str">
            <v>Knight Sharks</v>
          </cell>
          <cell r="D158" t="str">
            <v>fawful#3094</v>
          </cell>
        </row>
        <row r="159">
          <cell r="C159" t="str">
            <v>Knight Sharks</v>
          </cell>
          <cell r="D159" t="str">
            <v>Håkon#2672</v>
          </cell>
        </row>
        <row r="160">
          <cell r="C160" t="str">
            <v>Knight Sharks</v>
          </cell>
          <cell r="D160" t="str">
            <v>MAB Emmett#7352</v>
          </cell>
        </row>
        <row r="161">
          <cell r="C161" t="str">
            <v>Knight Sharks</v>
          </cell>
          <cell r="D161" t="str">
            <v>Nifty#2371</v>
          </cell>
        </row>
        <row r="162">
          <cell r="C162" t="str">
            <v>Knight Sharks</v>
          </cell>
          <cell r="D162" t="str">
            <v>Toast#1514</v>
          </cell>
        </row>
        <row r="163">
          <cell r="C163" t="str">
            <v>Knight Sharks</v>
          </cell>
          <cell r="D163" t="str">
            <v>ylliB#2333</v>
          </cell>
        </row>
        <row r="164">
          <cell r="C164" t="str">
            <v>Kraken Cove</v>
          </cell>
          <cell r="D164" t="str">
            <v>*^RDB#2683</v>
          </cell>
        </row>
        <row r="165">
          <cell r="C165" t="str">
            <v>Kraken Cove</v>
          </cell>
          <cell r="D165" t="str">
            <v>E#2956</v>
          </cell>
        </row>
        <row r="166">
          <cell r="C166" t="str">
            <v>Kraken Cove</v>
          </cell>
          <cell r="D166" t="str">
            <v>Ghoul#3002</v>
          </cell>
        </row>
        <row r="167">
          <cell r="C167" t="str">
            <v>Kraken Cove</v>
          </cell>
          <cell r="D167" t="str">
            <v>RedOctober#2754</v>
          </cell>
        </row>
        <row r="168">
          <cell r="C168" t="str">
            <v>Kraken Cove</v>
          </cell>
          <cell r="D168" t="str">
            <v>Seacrisps#2038</v>
          </cell>
        </row>
        <row r="169">
          <cell r="C169" t="str">
            <v>Kraken Cove</v>
          </cell>
          <cell r="D169" t="str">
            <v>weeeeeeeee#6553</v>
          </cell>
        </row>
        <row r="170">
          <cell r="C170" t="str">
            <v>Kraken Squids</v>
          </cell>
          <cell r="D170" t="str">
            <v>Beanman#7462</v>
          </cell>
        </row>
        <row r="171">
          <cell r="C171" t="str">
            <v>Kraken Squids</v>
          </cell>
          <cell r="D171" t="str">
            <v>Fedbca#3159</v>
          </cell>
        </row>
        <row r="172">
          <cell r="C172" t="str">
            <v>Kraken Squids</v>
          </cell>
          <cell r="D172" t="str">
            <v>JALDizzy#2774</v>
          </cell>
        </row>
        <row r="173">
          <cell r="C173" t="str">
            <v>Kraken Squids</v>
          </cell>
          <cell r="D173" t="str">
            <v>N#1079</v>
          </cell>
        </row>
        <row r="174">
          <cell r="C174" t="str">
            <v>Kraken Squids</v>
          </cell>
          <cell r="D174" t="str">
            <v>Olixil#2921</v>
          </cell>
        </row>
        <row r="175">
          <cell r="C175" t="str">
            <v>KSU Catfish</v>
          </cell>
          <cell r="D175" t="str">
            <v>[KSU] X#2657</v>
          </cell>
        </row>
        <row r="176">
          <cell r="C176" t="str">
            <v>KSU Catfish</v>
          </cell>
          <cell r="D176" t="str">
            <v>[KSU]FG#2828</v>
          </cell>
        </row>
        <row r="177">
          <cell r="C177" t="str">
            <v>KSU Catfish</v>
          </cell>
          <cell r="D177" t="str">
            <v>[KSU]J#2077</v>
          </cell>
        </row>
        <row r="178">
          <cell r="C178" t="str">
            <v>KSU Catfish</v>
          </cell>
          <cell r="D178" t="str">
            <v>[KSU]Linn#1231</v>
          </cell>
        </row>
        <row r="179">
          <cell r="C179" t="str">
            <v>KSU Catfish</v>
          </cell>
          <cell r="D179" t="str">
            <v>[KSU]Proxy#2326</v>
          </cell>
        </row>
        <row r="180">
          <cell r="C180" t="str">
            <v>KSU WildSharks</v>
          </cell>
          <cell r="D180" t="str">
            <v>Ksu FEAR#6246</v>
          </cell>
        </row>
        <row r="181">
          <cell r="C181" t="str">
            <v>KSU WildSharks</v>
          </cell>
          <cell r="D181" t="str">
            <v>Ķśü Ķïñğ#2736</v>
          </cell>
        </row>
        <row r="182">
          <cell r="C182" t="str">
            <v>KSU WildSharks</v>
          </cell>
          <cell r="D182" t="str">
            <v>Ksu SunDae#2319</v>
          </cell>
        </row>
        <row r="183">
          <cell r="C183" t="str">
            <v>KSU WildSharks</v>
          </cell>
          <cell r="D183" t="str">
            <v>KsuKaŘßine#8324</v>
          </cell>
        </row>
        <row r="184">
          <cell r="C184" t="str">
            <v>KSU WildSharks</v>
          </cell>
          <cell r="D184" t="str">
            <v>Ksul8zziem#2161</v>
          </cell>
        </row>
        <row r="185">
          <cell r="C185" t="str">
            <v>Life Could Bradley Dream (LC🅱D)</v>
          </cell>
          <cell r="D185" t="str">
            <v>Gab#2145</v>
          </cell>
        </row>
        <row r="186">
          <cell r="C186" t="str">
            <v>Life Could Bradley Dream (LC🅱D)</v>
          </cell>
          <cell r="D186" t="str">
            <v>Jertop#1836</v>
          </cell>
        </row>
        <row r="187">
          <cell r="C187" t="str">
            <v>Life Could Bradley Dream (LC🅱D)</v>
          </cell>
          <cell r="D187" t="str">
            <v>Liz#2245</v>
          </cell>
        </row>
        <row r="188">
          <cell r="C188" t="str">
            <v>Life Could Bradley Dream (LC🅱D)</v>
          </cell>
          <cell r="D188" t="str">
            <v>ovengoats#1165</v>
          </cell>
        </row>
        <row r="189">
          <cell r="C189" t="str">
            <v>Life Could Bradley Dream (LC🅱D)</v>
          </cell>
          <cell r="D189" t="str">
            <v>Shnx_#2214</v>
          </cell>
        </row>
        <row r="190">
          <cell r="C190" t="str">
            <v>Life Could Bradley Dream (LC🅱D)</v>
          </cell>
          <cell r="D190" t="str">
            <v>Vee3000#2638</v>
          </cell>
        </row>
        <row r="191">
          <cell r="C191" t="str">
            <v>Moravian CyberSquids</v>
          </cell>
          <cell r="D191" t="str">
            <v>☆Jack_64☆#1573</v>
          </cell>
        </row>
        <row r="192">
          <cell r="C192" t="str">
            <v>Moravian CyberSquids</v>
          </cell>
          <cell r="D192" t="str">
            <v>MCH ⭐️Eman#2518</v>
          </cell>
        </row>
        <row r="193">
          <cell r="C193" t="str">
            <v>Moravian CyberSquids</v>
          </cell>
          <cell r="D193" t="str">
            <v>Moon#2748</v>
          </cell>
        </row>
        <row r="194">
          <cell r="C194" t="str">
            <v>Moravian CyberSquids</v>
          </cell>
          <cell r="D194" t="str">
            <v>Nox#4544</v>
          </cell>
        </row>
        <row r="195">
          <cell r="C195" t="str">
            <v>Moravian CyberSquids</v>
          </cell>
          <cell r="D195" t="str">
            <v>PikPik23p#3147</v>
          </cell>
        </row>
        <row r="196">
          <cell r="C196" t="str">
            <v>Moravian CyberSquids</v>
          </cell>
          <cell r="D196" t="str">
            <v>Spicy#2696</v>
          </cell>
        </row>
        <row r="197">
          <cell r="C197" t="str">
            <v>Moravian CyberSquids</v>
          </cell>
          <cell r="D197" t="str">
            <v>Sprinkler!#1406</v>
          </cell>
        </row>
        <row r="198">
          <cell r="C198" t="str">
            <v>Moravian CyberSquids</v>
          </cell>
          <cell r="D198" t="str">
            <v>Toxicflame#3035</v>
          </cell>
        </row>
        <row r="199">
          <cell r="C199" t="str">
            <v>MSU Firefin Couches</v>
          </cell>
          <cell r="D199" t="str">
            <v>Andu~ #3008</v>
          </cell>
        </row>
        <row r="200">
          <cell r="C200" t="str">
            <v>MSU Firefin Couches</v>
          </cell>
          <cell r="D200" t="str">
            <v>msu chef#2651</v>
          </cell>
        </row>
        <row r="201">
          <cell r="C201" t="str">
            <v>MSU Firefin Couches</v>
          </cell>
          <cell r="D201" t="str">
            <v>msu Ender#2358</v>
          </cell>
        </row>
        <row r="202">
          <cell r="C202" t="str">
            <v>MSU Firefin Couches</v>
          </cell>
          <cell r="D202" t="str">
            <v>msu Nick #1821</v>
          </cell>
        </row>
        <row r="203">
          <cell r="C203" t="str">
            <v>MSU Firefin Couches</v>
          </cell>
          <cell r="D203" t="str">
            <v>msu San d #2832</v>
          </cell>
        </row>
        <row r="204">
          <cell r="C204" t="str">
            <v>MSU FRIB</v>
          </cell>
          <cell r="D204" t="str">
            <v>¼nσσmy!#8754</v>
          </cell>
        </row>
        <row r="205">
          <cell r="C205" t="str">
            <v>MSU FRIB</v>
          </cell>
          <cell r="D205" t="str">
            <v>Coolered#1168</v>
          </cell>
        </row>
        <row r="206">
          <cell r="C206" t="str">
            <v>MSU FRIB</v>
          </cell>
          <cell r="D206" t="str">
            <v>lσvvbiis#1943</v>
          </cell>
        </row>
        <row r="207">
          <cell r="C207" t="str">
            <v>MSU FRIB</v>
          </cell>
          <cell r="D207" t="str">
            <v>σverwrite#4860</v>
          </cell>
        </row>
        <row r="208">
          <cell r="C208" t="str">
            <v>NAUtical</v>
          </cell>
          <cell r="D208" t="str">
            <v>2corbeen#1700</v>
          </cell>
        </row>
        <row r="209">
          <cell r="C209" t="str">
            <v>NAUtical</v>
          </cell>
          <cell r="D209" t="str">
            <v>Cheesy#1353</v>
          </cell>
        </row>
        <row r="210">
          <cell r="C210" t="str">
            <v>NAUtical</v>
          </cell>
          <cell r="D210" t="str">
            <v>fast#2239</v>
          </cell>
        </row>
        <row r="211">
          <cell r="C211" t="str">
            <v>NAUtical</v>
          </cell>
          <cell r="D211" t="str">
            <v>inky#1009</v>
          </cell>
        </row>
        <row r="212">
          <cell r="C212" t="str">
            <v>NAUtical</v>
          </cell>
          <cell r="D212" t="str">
            <v>Soda#9827</v>
          </cell>
        </row>
        <row r="213">
          <cell r="C213" t="str">
            <v>NAUtical</v>
          </cell>
          <cell r="D213" t="str">
            <v>SWN Wale #4858</v>
          </cell>
        </row>
        <row r="214">
          <cell r="C214" t="str">
            <v>NAUtical</v>
          </cell>
          <cell r="D214" t="str">
            <v>vactyl__#1432</v>
          </cell>
        </row>
        <row r="215">
          <cell r="C215" t="str">
            <v>Nightfall</v>
          </cell>
          <cell r="D215" t="str">
            <v>drey#7410</v>
          </cell>
        </row>
        <row r="216">
          <cell r="C216" t="str">
            <v>Nightfall</v>
          </cell>
          <cell r="D216" t="str">
            <v>galaxy☆#1325</v>
          </cell>
        </row>
        <row r="217">
          <cell r="C217" t="str">
            <v>Nightfall</v>
          </cell>
          <cell r="D217" t="str">
            <v>LG|Salami#3369</v>
          </cell>
        </row>
        <row r="218">
          <cell r="C218" t="str">
            <v>Nightfall</v>
          </cell>
          <cell r="D218" t="str">
            <v>nax#1874</v>
          </cell>
        </row>
        <row r="219">
          <cell r="C219" t="str">
            <v>Nightfall</v>
          </cell>
          <cell r="D219" t="str">
            <v>salty#8801</v>
          </cell>
        </row>
        <row r="220">
          <cell r="C220" t="str">
            <v>Niner Esports</v>
          </cell>
          <cell r="D220" t="str">
            <v>dz#1548</v>
          </cell>
        </row>
        <row r="221">
          <cell r="C221" t="str">
            <v>Niner Esports</v>
          </cell>
          <cell r="D221" t="str">
            <v>froggy &lt;3#1346</v>
          </cell>
        </row>
        <row r="222">
          <cell r="C222" t="str">
            <v>Niner Esports</v>
          </cell>
          <cell r="D222" t="str">
            <v>Jokera#8147</v>
          </cell>
        </row>
        <row r="223">
          <cell r="C223" t="str">
            <v>Niner Esports</v>
          </cell>
          <cell r="D223" t="str">
            <v>Mathoomble#1264</v>
          </cell>
        </row>
        <row r="224">
          <cell r="C224" t="str">
            <v>Niner Esports</v>
          </cell>
          <cell r="D224" t="str">
            <v>Melli #1714</v>
          </cell>
        </row>
        <row r="225">
          <cell r="C225" t="str">
            <v>Niner Esports</v>
          </cell>
          <cell r="D225" t="str">
            <v>Pengo#1658</v>
          </cell>
        </row>
        <row r="226">
          <cell r="C226" t="str">
            <v>Niner Esports</v>
          </cell>
          <cell r="D226" t="str">
            <v>Presto#3266</v>
          </cell>
        </row>
        <row r="227">
          <cell r="C227" t="str">
            <v>OC Eagles</v>
          </cell>
          <cell r="D227" t="str">
            <v>Grease#3087</v>
          </cell>
        </row>
        <row r="228">
          <cell r="C228" t="str">
            <v>OC Eagles</v>
          </cell>
          <cell r="D228" t="str">
            <v>J4W-Indigo#3011</v>
          </cell>
        </row>
        <row r="229">
          <cell r="C229" t="str">
            <v>OC Eagles</v>
          </cell>
          <cell r="D229" t="str">
            <v>Katarina#2339</v>
          </cell>
        </row>
        <row r="230">
          <cell r="C230" t="str">
            <v>OC Eagles</v>
          </cell>
          <cell r="D230" t="str">
            <v>MakoAngel#1525</v>
          </cell>
        </row>
        <row r="231">
          <cell r="C231" t="str">
            <v>Octocutioners</v>
          </cell>
          <cell r="D231" t="str">
            <v>Big Pharma#2360</v>
          </cell>
        </row>
        <row r="232">
          <cell r="C232" t="str">
            <v>Octocutioners</v>
          </cell>
          <cell r="D232" t="str">
            <v>GIGI#1512</v>
          </cell>
        </row>
        <row r="233">
          <cell r="C233" t="str">
            <v>Octocutioners</v>
          </cell>
          <cell r="D233" t="str">
            <v>Luke#2709</v>
          </cell>
        </row>
        <row r="234">
          <cell r="C234" t="str">
            <v>Octocutioners</v>
          </cell>
          <cell r="D234" t="str">
            <v>Tealsquid#6827</v>
          </cell>
        </row>
        <row r="235">
          <cell r="C235" t="str">
            <v>Octocutioners</v>
          </cell>
          <cell r="D235" t="str">
            <v>Thimble#2697</v>
          </cell>
        </row>
        <row r="236">
          <cell r="C236" t="str">
            <v>Octo-Gaels</v>
          </cell>
          <cell r="D236" t="str">
            <v>∗Ssbufans#2563</v>
          </cell>
        </row>
        <row r="237">
          <cell r="C237" t="str">
            <v>Octo-Gaels</v>
          </cell>
          <cell r="D237" t="str">
            <v>Cash Flow#2279</v>
          </cell>
        </row>
        <row r="238">
          <cell r="C238" t="str">
            <v>Octo-Gaels</v>
          </cell>
          <cell r="D238" t="str">
            <v>FireShootr#1837</v>
          </cell>
        </row>
        <row r="239">
          <cell r="C239" t="str">
            <v>Octo-Gaels</v>
          </cell>
          <cell r="D239" t="str">
            <v>fuyu#2908</v>
          </cell>
        </row>
        <row r="240">
          <cell r="C240" t="str">
            <v>Octo-Gaels</v>
          </cell>
          <cell r="D240" t="str">
            <v>Lufendi#1272</v>
          </cell>
        </row>
        <row r="241">
          <cell r="C241" t="str">
            <v>Octo-Gaels</v>
          </cell>
          <cell r="D241" t="str">
            <v>⭐️SMOOTH⭐️#2953</v>
          </cell>
        </row>
        <row r="242">
          <cell r="C242" t="str">
            <v>Octo-Gaels</v>
          </cell>
          <cell r="D242" t="str">
            <v>Yoshi#2857</v>
          </cell>
        </row>
        <row r="243">
          <cell r="C243" t="str">
            <v>Old Bay Brigade</v>
          </cell>
          <cell r="D243" t="str">
            <v>obb amia</v>
          </cell>
        </row>
        <row r="244">
          <cell r="C244" t="str">
            <v>Old Bay Brigade</v>
          </cell>
          <cell r="D244" t="str">
            <v>fell#1704</v>
          </cell>
        </row>
        <row r="245">
          <cell r="C245" t="str">
            <v>Old Bay Brigade</v>
          </cell>
          <cell r="D245" t="str">
            <v>Fortnite69#1592</v>
          </cell>
        </row>
        <row r="246">
          <cell r="C246" t="str">
            <v>Old Bay Brigade</v>
          </cell>
          <cell r="D246" t="str">
            <v>TurtleKing#1055</v>
          </cell>
        </row>
        <row r="247">
          <cell r="C247" t="str">
            <v>Old Bay Brigade</v>
          </cell>
          <cell r="D247" t="str">
            <v>みなと#61626</v>
          </cell>
        </row>
        <row r="248">
          <cell r="C248" t="str">
            <v>Old Bay Brigade</v>
          </cell>
          <cell r="D248" t="str">
            <v>oliviajade</v>
          </cell>
        </row>
        <row r="249">
          <cell r="C249" t="str">
            <v>OnSU (Octos n' Squids United)</v>
          </cell>
          <cell r="D249" t="str">
            <v>O。 Okamu#5492</v>
          </cell>
        </row>
        <row r="250">
          <cell r="C250" t="str">
            <v>OnSU (Octos n' Squids United)</v>
          </cell>
          <cell r="D250" t="str">
            <v>O。Andriale#3115</v>
          </cell>
        </row>
        <row r="251">
          <cell r="C251" t="str">
            <v>OnSU (Octos n' Squids United)</v>
          </cell>
          <cell r="D251" t="str">
            <v>O。Big Gay!#7253</v>
          </cell>
        </row>
        <row r="252">
          <cell r="C252" t="str">
            <v>OnSU (Octos n' Squids United)</v>
          </cell>
          <cell r="D252" t="str">
            <v>O。orchid#2239</v>
          </cell>
        </row>
        <row r="253">
          <cell r="C253" t="str">
            <v>OnSU (Octos n' Squids United)</v>
          </cell>
          <cell r="D253" t="str">
            <v>O。SlimJava#3258</v>
          </cell>
        </row>
        <row r="254">
          <cell r="C254" t="str">
            <v>OU Black</v>
          </cell>
          <cell r="D254" t="str">
            <v>Gmon#2693</v>
          </cell>
        </row>
        <row r="255">
          <cell r="C255" t="str">
            <v>OU Black</v>
          </cell>
          <cell r="D255" t="str">
            <v>MaxIsWell#2918</v>
          </cell>
        </row>
        <row r="256">
          <cell r="C256" t="str">
            <v>OU Black</v>
          </cell>
          <cell r="D256" t="str">
            <v>Noer#4359</v>
          </cell>
        </row>
        <row r="257">
          <cell r="C257" t="str">
            <v>OU Black</v>
          </cell>
          <cell r="D257" t="str">
            <v>Nona#3050</v>
          </cell>
        </row>
        <row r="258">
          <cell r="C258" t="str">
            <v>OU Black</v>
          </cell>
          <cell r="D258" t="str">
            <v>Plank#1263</v>
          </cell>
        </row>
        <row r="259">
          <cell r="C259" t="str">
            <v>OU Crimson</v>
          </cell>
          <cell r="D259" t="str">
            <v>Clucks#3384</v>
          </cell>
        </row>
        <row r="260">
          <cell r="C260" t="str">
            <v>OU Crimson</v>
          </cell>
          <cell r="D260" t="str">
            <v>Emperior#6686</v>
          </cell>
        </row>
        <row r="261">
          <cell r="C261" t="str">
            <v>OU Crimson</v>
          </cell>
          <cell r="D261" t="str">
            <v>Ice Dew#1033</v>
          </cell>
        </row>
        <row r="262">
          <cell r="C262" t="str">
            <v>OU Crimson</v>
          </cell>
          <cell r="D262" t="str">
            <v>Lestructo#1277</v>
          </cell>
        </row>
        <row r="263">
          <cell r="C263" t="str">
            <v>OU Crimson</v>
          </cell>
          <cell r="D263" t="str">
            <v>ShadoKirby#2264</v>
          </cell>
        </row>
        <row r="264">
          <cell r="C264" t="str">
            <v>OU Crimson</v>
          </cell>
          <cell r="D264" t="str">
            <v>Tanor#3712</v>
          </cell>
        </row>
        <row r="265">
          <cell r="C265" t="str">
            <v>Painting Hazard</v>
          </cell>
          <cell r="D265" t="str">
            <v>apple#2200</v>
          </cell>
        </row>
        <row r="266">
          <cell r="C266" t="str">
            <v>Painting Hazard</v>
          </cell>
          <cell r="D266" t="str">
            <v>C-#2667</v>
          </cell>
        </row>
        <row r="267">
          <cell r="C267" t="str">
            <v>Painting Hazard</v>
          </cell>
          <cell r="D267" t="str">
            <v>Chris#2359</v>
          </cell>
        </row>
        <row r="268">
          <cell r="C268" t="str">
            <v>Painting Hazard</v>
          </cell>
          <cell r="D268" t="str">
            <v>pepper#3604</v>
          </cell>
        </row>
        <row r="269">
          <cell r="C269" t="str">
            <v>Painting Hazard</v>
          </cell>
          <cell r="D269" t="str">
            <v>Pikachup#2278</v>
          </cell>
        </row>
        <row r="270">
          <cell r="C270" t="str">
            <v>Painting Hazard</v>
          </cell>
          <cell r="D270" t="str">
            <v>PixxiBunny#2308</v>
          </cell>
        </row>
        <row r="271">
          <cell r="C271" t="str">
            <v>Painting Hazard</v>
          </cell>
          <cell r="D271" t="str">
            <v>SEA-SIMON#2243</v>
          </cell>
        </row>
        <row r="272">
          <cell r="C272" t="str">
            <v>PAL 3.0</v>
          </cell>
          <cell r="D272" t="str">
            <v>★⊂ OmaZen#2758</v>
          </cell>
        </row>
        <row r="273">
          <cell r="C273" t="str">
            <v>PAL 3.0</v>
          </cell>
          <cell r="D273" t="str">
            <v>Dyno. ☆ミ#1667</v>
          </cell>
        </row>
        <row r="274">
          <cell r="C274" t="str">
            <v>PAL 3.0</v>
          </cell>
          <cell r="D274" t="str">
            <v>Missiles#2623</v>
          </cell>
        </row>
        <row r="275">
          <cell r="C275" t="str">
            <v>PAL 3.0</v>
          </cell>
          <cell r="D275" t="str">
            <v>PAL Plan B#2796</v>
          </cell>
        </row>
        <row r="276">
          <cell r="C276" t="str">
            <v>PPP</v>
          </cell>
          <cell r="D276" t="str">
            <v>ペDrewmar#1167</v>
          </cell>
        </row>
        <row r="277">
          <cell r="C277" t="str">
            <v>PPP</v>
          </cell>
          <cell r="D277" t="str">
            <v>ペJG5#5204</v>
          </cell>
        </row>
        <row r="278">
          <cell r="C278" t="str">
            <v>PPP</v>
          </cell>
          <cell r="D278" t="str">
            <v>ペMayday#1164</v>
          </cell>
        </row>
        <row r="279">
          <cell r="C279" t="str">
            <v>PPP</v>
          </cell>
          <cell r="D279" t="str">
            <v>ペMindstorm#1287</v>
          </cell>
        </row>
        <row r="280">
          <cell r="C280" t="str">
            <v>PPP</v>
          </cell>
          <cell r="D280" t="str">
            <v>ぺRaine#3053</v>
          </cell>
        </row>
        <row r="281">
          <cell r="C281" t="str">
            <v>PSU Blue</v>
          </cell>
          <cell r="D281" t="str">
            <v xml:space="preserve"> PSU Kevin#1853</v>
          </cell>
        </row>
        <row r="282">
          <cell r="C282" t="str">
            <v>PSU Blue</v>
          </cell>
          <cell r="D282" t="str">
            <v>! Snow#2571</v>
          </cell>
        </row>
        <row r="283">
          <cell r="C283" t="str">
            <v>PSU Blue</v>
          </cell>
          <cell r="D283" t="str">
            <v>KrakenMare#2266</v>
          </cell>
        </row>
        <row r="284">
          <cell r="C284" t="str">
            <v>PSU Blue</v>
          </cell>
          <cell r="D284" t="str">
            <v>Obscure#7578</v>
          </cell>
        </row>
        <row r="285">
          <cell r="C285" t="str">
            <v>PSU Blue</v>
          </cell>
          <cell r="D285" t="str">
            <v>PSU Jay$#1062</v>
          </cell>
        </row>
        <row r="286">
          <cell r="C286" t="str">
            <v>PSU Nittany Lionfish</v>
          </cell>
          <cell r="D286" t="str">
            <v>Big Mike#3044</v>
          </cell>
        </row>
        <row r="287">
          <cell r="C287" t="str">
            <v>PSU Nittany Lionfish</v>
          </cell>
          <cell r="D287" t="str">
            <v>Calico_OS#3663</v>
          </cell>
        </row>
        <row r="288">
          <cell r="C288" t="str">
            <v>PSU Nittany Lionfish</v>
          </cell>
          <cell r="D288" t="str">
            <v>Lianzi#3090</v>
          </cell>
        </row>
        <row r="289">
          <cell r="C289" t="str">
            <v>PSU Nittany Lionfish</v>
          </cell>
          <cell r="D289" t="str">
            <v>Nikki#3216</v>
          </cell>
        </row>
        <row r="290">
          <cell r="C290" t="str">
            <v>PSU Nittany Lionfish</v>
          </cell>
          <cell r="D290" t="str">
            <v>SophieSqid#1533</v>
          </cell>
        </row>
        <row r="291">
          <cell r="C291" t="str">
            <v>Redbeak Splatoon</v>
          </cell>
          <cell r="D291" t="str">
            <v>Pxi|Kliff#3058</v>
          </cell>
        </row>
        <row r="292">
          <cell r="C292" t="str">
            <v>Redbeak Splatoon</v>
          </cell>
          <cell r="D292" t="str">
            <v>RB★Aidiin#1118</v>
          </cell>
        </row>
        <row r="293">
          <cell r="C293" t="str">
            <v>Redbeak Splatoon</v>
          </cell>
          <cell r="D293" t="str">
            <v>saltmothm#1701</v>
          </cell>
        </row>
        <row r="294">
          <cell r="C294" t="str">
            <v>Redbeak Splatoon</v>
          </cell>
          <cell r="D294" t="str">
            <v>TLP#3711</v>
          </cell>
        </row>
        <row r="295">
          <cell r="C295" t="str">
            <v>Reef Runners</v>
          </cell>
          <cell r="D295" t="str">
            <v>∂SquibKid∂#9710</v>
          </cell>
        </row>
        <row r="296">
          <cell r="C296" t="str">
            <v>Reef Runners</v>
          </cell>
          <cell r="D296" t="str">
            <v>Nonoman#3306</v>
          </cell>
        </row>
        <row r="297">
          <cell r="C297" t="str">
            <v>Reef Runners</v>
          </cell>
          <cell r="D297" t="str">
            <v>Skitty#2651</v>
          </cell>
        </row>
        <row r="298">
          <cell r="C298" t="str">
            <v>Reef Runners</v>
          </cell>
          <cell r="D298" t="str">
            <v>Wendall555#3053</v>
          </cell>
        </row>
        <row r="299">
          <cell r="C299" t="str">
            <v>Reef Runners</v>
          </cell>
          <cell r="D299" t="str">
            <v>Zeshal#2249</v>
          </cell>
        </row>
        <row r="300">
          <cell r="C300" t="str">
            <v>Reef Unleashed</v>
          </cell>
          <cell r="D300" t="str">
            <v>[salty]#2638</v>
          </cell>
        </row>
        <row r="301">
          <cell r="C301" t="str">
            <v>Reef Unleashed</v>
          </cell>
          <cell r="D301" t="str">
            <v>©Coffee©️#1478</v>
          </cell>
        </row>
        <row r="302">
          <cell r="C302" t="str">
            <v>Reef Unleashed</v>
          </cell>
          <cell r="D302" t="str">
            <v>AlphaNerd!#1556</v>
          </cell>
        </row>
        <row r="303">
          <cell r="C303" t="str">
            <v>Reef Unleashed</v>
          </cell>
          <cell r="D303" t="str">
            <v>Bkzander#8359</v>
          </cell>
        </row>
        <row r="304">
          <cell r="C304" t="str">
            <v>Reef Unleashed</v>
          </cell>
          <cell r="D304" t="str">
            <v>D.Shiesty#2236</v>
          </cell>
        </row>
        <row r="305">
          <cell r="C305" t="str">
            <v>Reef Unleashed</v>
          </cell>
          <cell r="D305" t="str">
            <v>JX-104#3719</v>
          </cell>
        </row>
        <row r="306">
          <cell r="C306" t="str">
            <v>Reef Unleashed</v>
          </cell>
          <cell r="D306" t="str">
            <v>kyko#5927</v>
          </cell>
        </row>
        <row r="307">
          <cell r="C307" t="str">
            <v>Reef Unleashed</v>
          </cell>
          <cell r="D307" t="str">
            <v>samuel#2072</v>
          </cell>
        </row>
        <row r="308">
          <cell r="C308" t="str">
            <v>Scarlet Scrimblers</v>
          </cell>
          <cell r="D308" t="str">
            <v>Bonkd U.ss#2856</v>
          </cell>
        </row>
        <row r="309">
          <cell r="C309" t="str">
            <v>Scarlet Scrimblers</v>
          </cell>
          <cell r="D309" t="str">
            <v>boop!.ss#1350</v>
          </cell>
        </row>
        <row r="310">
          <cell r="C310" t="str">
            <v>Scarlet Scrimblers</v>
          </cell>
          <cell r="D310" t="str">
            <v>grodd.ss#2425</v>
          </cell>
        </row>
        <row r="311">
          <cell r="C311" t="str">
            <v>Scarlet Scrimblers</v>
          </cell>
          <cell r="D311" t="str">
            <v>sosad2112#8458</v>
          </cell>
        </row>
        <row r="312">
          <cell r="C312" t="str">
            <v>Scarlet Scrimblers</v>
          </cell>
          <cell r="D312" t="str">
            <v>spectra.ss#8925</v>
          </cell>
        </row>
        <row r="313">
          <cell r="C313" t="str">
            <v>Scarlet Scrimblers</v>
          </cell>
          <cell r="D313" t="str">
            <v>wyrmush.ss#3004</v>
          </cell>
        </row>
        <row r="314">
          <cell r="C314" t="str">
            <v>Seminole Cephalopods</v>
          </cell>
          <cell r="D314" t="str">
            <v>Alex#1067</v>
          </cell>
        </row>
        <row r="315">
          <cell r="C315" t="str">
            <v>Seminole Cephalopods</v>
          </cell>
          <cell r="D315" t="str">
            <v>DualBall#1537</v>
          </cell>
        </row>
        <row r="316">
          <cell r="C316" t="str">
            <v>Seminole Cephalopods</v>
          </cell>
          <cell r="D316" t="str">
            <v>FSU Citrue#9995</v>
          </cell>
        </row>
        <row r="317">
          <cell r="C317" t="str">
            <v>Seminole Cephalopods</v>
          </cell>
          <cell r="D317" t="str">
            <v>FSU|Funny#1495</v>
          </cell>
        </row>
        <row r="318">
          <cell r="C318" t="str">
            <v>Seminole Cephalopods</v>
          </cell>
          <cell r="D318" t="str">
            <v>Nuc#1389</v>
          </cell>
        </row>
        <row r="319">
          <cell r="C319" t="str">
            <v>Seminole Cephalopods</v>
          </cell>
          <cell r="D319" t="str">
            <v>PkCj#1630</v>
          </cell>
        </row>
        <row r="320">
          <cell r="C320" t="str">
            <v>Seminole Cephalopods</v>
          </cell>
          <cell r="D320" t="str">
            <v>ribbon.exe#1243</v>
          </cell>
        </row>
        <row r="321">
          <cell r="C321" t="str">
            <v>Seminole Cephalopods</v>
          </cell>
          <cell r="D321" t="str">
            <v>Stefi#1677</v>
          </cell>
        </row>
        <row r="322">
          <cell r="C322" t="str">
            <v>SHUGSdrake</v>
          </cell>
          <cell r="D322" t="str">
            <v>Arc#2701</v>
          </cell>
        </row>
        <row r="323">
          <cell r="C323" t="str">
            <v>SHUGSdrake</v>
          </cell>
          <cell r="D323" t="str">
            <v>BloodBoy#1113</v>
          </cell>
        </row>
        <row r="324">
          <cell r="C324" t="str">
            <v>SHUGSdrake</v>
          </cell>
          <cell r="D324" t="str">
            <v>Makogana#8617</v>
          </cell>
        </row>
        <row r="325">
          <cell r="C325" t="str">
            <v>SHUGSdrake</v>
          </cell>
          <cell r="D325" t="str">
            <v>MegaPlays#4104</v>
          </cell>
        </row>
        <row r="326">
          <cell r="C326" t="str">
            <v>SHUGSdrake</v>
          </cell>
          <cell r="D326" t="str">
            <v>torrent501#1874</v>
          </cell>
        </row>
        <row r="327">
          <cell r="C327" t="str">
            <v>SHUGSmorgan</v>
          </cell>
          <cell r="D327" t="str">
            <v>Dragon#5244</v>
          </cell>
        </row>
        <row r="328">
          <cell r="C328" t="str">
            <v>SHUGSmorgan</v>
          </cell>
          <cell r="D328" t="str">
            <v>Elledritch#2585</v>
          </cell>
        </row>
        <row r="329">
          <cell r="C329" t="str">
            <v>SHUGSmorgan</v>
          </cell>
          <cell r="D329" t="str">
            <v>Mango Man#2216</v>
          </cell>
        </row>
        <row r="330">
          <cell r="C330" t="str">
            <v>SHUGSmorgan</v>
          </cell>
          <cell r="D330" t="str">
            <v>Nyomincia#2407</v>
          </cell>
        </row>
        <row r="331">
          <cell r="C331" t="str">
            <v>Splatlanders</v>
          </cell>
          <cell r="D331" t="str">
            <v>Cyan#1321</v>
          </cell>
        </row>
        <row r="332">
          <cell r="C332" t="str">
            <v>Splatlanders</v>
          </cell>
          <cell r="D332" t="str">
            <v>Fishy#2141</v>
          </cell>
        </row>
        <row r="333">
          <cell r="C333" t="str">
            <v>Splatlanders</v>
          </cell>
          <cell r="D333" t="str">
            <v>Joethulhu#1861</v>
          </cell>
        </row>
        <row r="334">
          <cell r="C334" t="str">
            <v>Splatlanders</v>
          </cell>
          <cell r="D334" t="str">
            <v>SL! Morgan#2531</v>
          </cell>
        </row>
        <row r="335">
          <cell r="C335" t="str">
            <v>Splatlanders</v>
          </cell>
          <cell r="D335" t="str">
            <v>WanaSplat™#1148</v>
          </cell>
        </row>
        <row r="336">
          <cell r="C336" t="str">
            <v>Splatoon Gold</v>
          </cell>
          <cell r="D336" t="str">
            <v>Bui#8172</v>
          </cell>
        </row>
        <row r="337">
          <cell r="C337" t="str">
            <v>Splatoon Gold</v>
          </cell>
          <cell r="D337" t="str">
            <v>Cat Nat#3191</v>
          </cell>
        </row>
        <row r="338">
          <cell r="C338" t="str">
            <v>Splatoon Gold</v>
          </cell>
          <cell r="D338" t="str">
            <v>ChLNGamnYT#2846</v>
          </cell>
        </row>
        <row r="339">
          <cell r="C339" t="str">
            <v>Splatoon Gold</v>
          </cell>
          <cell r="D339" t="str">
            <v>Videogamer#3318</v>
          </cell>
        </row>
        <row r="340">
          <cell r="C340" t="str">
            <v>Springfield, OH</v>
          </cell>
          <cell r="D340" t="str">
            <v>! batson#1255</v>
          </cell>
        </row>
        <row r="341">
          <cell r="C341" t="str">
            <v>Springfield, OH</v>
          </cell>
          <cell r="D341" t="str">
            <v>DragnSoulX#2728</v>
          </cell>
        </row>
        <row r="342">
          <cell r="C342" t="str">
            <v>Springfield, OH</v>
          </cell>
          <cell r="D342" t="str">
            <v>Mr. K#3293</v>
          </cell>
        </row>
        <row r="343">
          <cell r="C343" t="str">
            <v>Springfield, OH</v>
          </cell>
          <cell r="D343" t="str">
            <v>Silas#1157</v>
          </cell>
        </row>
        <row r="344">
          <cell r="C344" t="str">
            <v>Springfield, OH</v>
          </cell>
          <cell r="D344" t="str">
            <v>Sir Sam#1492</v>
          </cell>
        </row>
        <row r="345">
          <cell r="C345" t="str">
            <v>Springfield, OH</v>
          </cell>
          <cell r="D345" t="str">
            <v>TWIS#2351</v>
          </cell>
        </row>
        <row r="346">
          <cell r="C346" t="str">
            <v>Squid Kids</v>
          </cell>
          <cell r="D346" t="str">
            <v>Anna#2041</v>
          </cell>
        </row>
        <row r="347">
          <cell r="C347" t="str">
            <v>Squid Kids</v>
          </cell>
          <cell r="D347" t="str">
            <v>CapCosmix#7918</v>
          </cell>
        </row>
        <row r="348">
          <cell r="C348" t="str">
            <v>Squid Kids</v>
          </cell>
          <cell r="D348" t="str">
            <v>Hayden#1647</v>
          </cell>
        </row>
        <row r="349">
          <cell r="C349" t="str">
            <v>Squid Kids</v>
          </cell>
          <cell r="D349" t="str">
            <v>Mulligan#1316</v>
          </cell>
        </row>
        <row r="350">
          <cell r="C350" t="str">
            <v>Squid Kids</v>
          </cell>
          <cell r="D350" t="str">
            <v>Pigeon#1958</v>
          </cell>
        </row>
        <row r="351">
          <cell r="C351" t="str">
            <v>Squid Kids</v>
          </cell>
          <cell r="D351" t="str">
            <v>Xandar#1444</v>
          </cell>
        </row>
        <row r="352">
          <cell r="C352" t="str">
            <v>Squids at Cal</v>
          </cell>
          <cell r="D352" t="str">
            <v>Auston#2219</v>
          </cell>
        </row>
        <row r="353">
          <cell r="C353" t="str">
            <v>Squids at Cal</v>
          </cell>
          <cell r="D353" t="str">
            <v>Bluekkachi#1397</v>
          </cell>
        </row>
        <row r="354">
          <cell r="C354" t="str">
            <v>Squids at Cal</v>
          </cell>
          <cell r="D354" t="str">
            <v>Jem#1219</v>
          </cell>
        </row>
        <row r="355">
          <cell r="C355" t="str">
            <v>Squids at Cal</v>
          </cell>
          <cell r="D355" t="str">
            <v>kαmi♪#7633</v>
          </cell>
        </row>
        <row r="356">
          <cell r="C356" t="str">
            <v>Squids at Cal</v>
          </cell>
          <cell r="D356" t="str">
            <v>Neska#2272</v>
          </cell>
        </row>
        <row r="357">
          <cell r="C357" t="str">
            <v>Squids at Cal</v>
          </cell>
          <cell r="D357" t="str">
            <v>sol#2645</v>
          </cell>
        </row>
        <row r="358">
          <cell r="C358" t="str">
            <v>Stars of Orion</v>
          </cell>
          <cell r="D358" t="str">
            <v>A. Secant#7341</v>
          </cell>
        </row>
        <row r="359">
          <cell r="C359" t="str">
            <v>Stars of Orion</v>
          </cell>
          <cell r="D359" t="str">
            <v>lil David#2780</v>
          </cell>
        </row>
        <row r="360">
          <cell r="C360" t="str">
            <v>Stars of Orion</v>
          </cell>
          <cell r="D360" t="str">
            <v>Neato#2744</v>
          </cell>
        </row>
        <row r="361">
          <cell r="C361" t="str">
            <v>Stars of Orion</v>
          </cell>
          <cell r="D361" t="str">
            <v>ptm Jimby#3223</v>
          </cell>
        </row>
        <row r="362">
          <cell r="C362" t="str">
            <v>Stars of Orion</v>
          </cell>
          <cell r="D362" t="str">
            <v>θ♪Steorra#6574</v>
          </cell>
        </row>
        <row r="363">
          <cell r="C363" t="str">
            <v>Stars of Orion</v>
          </cell>
          <cell r="D363" t="str">
            <v>τσrr Onkar#3332</v>
          </cell>
        </row>
        <row r="364">
          <cell r="C364" t="str">
            <v>Stevens Inxecutioners</v>
          </cell>
          <cell r="D364" t="str">
            <v>Briginator#1987</v>
          </cell>
        </row>
        <row r="365">
          <cell r="C365" t="str">
            <v>Stevens Inxecutioners</v>
          </cell>
          <cell r="D365" t="str">
            <v>ChrisMS39#3227</v>
          </cell>
        </row>
        <row r="366">
          <cell r="C366" t="str">
            <v>Stevens Inxecutioners</v>
          </cell>
          <cell r="D366" t="str">
            <v>Ee#1609</v>
          </cell>
        </row>
        <row r="367">
          <cell r="C367" t="str">
            <v>Stevens Inxecutioners</v>
          </cell>
          <cell r="D367" t="str">
            <v>GoonLagoon#2705</v>
          </cell>
        </row>
        <row r="368">
          <cell r="C368" t="str">
            <v>Stevens Inxecutioners</v>
          </cell>
          <cell r="D368" t="str">
            <v>Twisted#2765</v>
          </cell>
        </row>
        <row r="369">
          <cell r="C369" t="str">
            <v>Storm Cells</v>
          </cell>
          <cell r="D369" t="str">
            <v>÷B3#2582</v>
          </cell>
        </row>
        <row r="370">
          <cell r="C370" t="str">
            <v>Storm Cells</v>
          </cell>
          <cell r="D370" t="str">
            <v>Ambrosia#2967</v>
          </cell>
        </row>
        <row r="371">
          <cell r="C371" t="str">
            <v>Storm Cells</v>
          </cell>
          <cell r="D371" t="str">
            <v>Astrea#1166</v>
          </cell>
        </row>
        <row r="372">
          <cell r="C372" t="str">
            <v>Storm Cells</v>
          </cell>
          <cell r="D372" t="str">
            <v>Maximus#9849</v>
          </cell>
        </row>
        <row r="373">
          <cell r="C373" t="str">
            <v>Storm Cells</v>
          </cell>
          <cell r="D373" t="str">
            <v>Nitro#6955</v>
          </cell>
        </row>
        <row r="374">
          <cell r="C374" t="str">
            <v>Tax Collectors</v>
          </cell>
          <cell r="D374" t="str">
            <v>Derpycows#5067</v>
          </cell>
        </row>
        <row r="375">
          <cell r="C375" t="str">
            <v>Tax Collectors</v>
          </cell>
          <cell r="D375" t="str">
            <v>flap!#1058</v>
          </cell>
        </row>
        <row r="376">
          <cell r="C376" t="str">
            <v>Tax Collectors</v>
          </cell>
          <cell r="D376" t="str">
            <v>Liquid#3265</v>
          </cell>
        </row>
        <row r="377">
          <cell r="C377" t="str">
            <v>Tax Collectors</v>
          </cell>
          <cell r="D377" t="str">
            <v>Nesan#3364</v>
          </cell>
        </row>
        <row r="378">
          <cell r="C378" t="str">
            <v>Tax Collectors</v>
          </cell>
          <cell r="D378" t="str">
            <v>Octio#5430</v>
          </cell>
        </row>
        <row r="379">
          <cell r="C379" t="str">
            <v>Tax Collectors</v>
          </cell>
          <cell r="D379" t="str">
            <v>Superstar#2592</v>
          </cell>
        </row>
        <row r="380">
          <cell r="C380" t="str">
            <v>Tax Collectors</v>
          </cell>
          <cell r="D380" t="str">
            <v>Taxぜいきん#2638</v>
          </cell>
        </row>
        <row r="381">
          <cell r="C381" t="str">
            <v>Tax Collectors</v>
          </cell>
          <cell r="D381" t="str">
            <v>βluε Squid#2648</v>
          </cell>
        </row>
        <row r="382">
          <cell r="C382" t="str">
            <v>Team Mancrazy</v>
          </cell>
          <cell r="D382" t="str">
            <v>annali⭐#2389</v>
          </cell>
        </row>
        <row r="383">
          <cell r="C383" t="str">
            <v>Team Mancrazy</v>
          </cell>
          <cell r="D383" t="str">
            <v>LatinoFire#3092</v>
          </cell>
        </row>
        <row r="384">
          <cell r="C384" t="str">
            <v>Team Mancrazy</v>
          </cell>
          <cell r="D384" t="str">
            <v>Merfairy#3279</v>
          </cell>
        </row>
        <row r="385">
          <cell r="C385" t="str">
            <v>Team Mancrazy</v>
          </cell>
          <cell r="D385" t="str">
            <v>sayuri♪#2214</v>
          </cell>
        </row>
        <row r="386">
          <cell r="C386" t="str">
            <v>Team Mancrazy</v>
          </cell>
          <cell r="D386" t="str">
            <v>Zoloft#1512</v>
          </cell>
        </row>
        <row r="387">
          <cell r="C387" t="str">
            <v>Tentacoolers</v>
          </cell>
          <cell r="D387" t="str">
            <v>Chills#2545</v>
          </cell>
        </row>
        <row r="388">
          <cell r="C388" t="str">
            <v>Tentacoolers</v>
          </cell>
          <cell r="D388" t="str">
            <v>Inkslinger#2989</v>
          </cell>
        </row>
        <row r="389">
          <cell r="C389" t="str">
            <v>Tentacoolers</v>
          </cell>
          <cell r="D389" t="str">
            <v>MidKnight#1613</v>
          </cell>
        </row>
        <row r="390">
          <cell r="C390" t="str">
            <v>Tentacoolers</v>
          </cell>
          <cell r="D390" t="str">
            <v>San Holo#8851</v>
          </cell>
        </row>
        <row r="391">
          <cell r="C391" t="str">
            <v xml:space="preserve">The Golden FryFish </v>
          </cell>
          <cell r="D391" t="str">
            <v>Adrianna#9823</v>
          </cell>
        </row>
        <row r="392">
          <cell r="C392" t="str">
            <v xml:space="preserve">The Golden FryFish </v>
          </cell>
          <cell r="D392" t="str">
            <v>e#9582</v>
          </cell>
        </row>
        <row r="393">
          <cell r="C393" t="str">
            <v xml:space="preserve">The Golden FryFish </v>
          </cell>
          <cell r="D393" t="str">
            <v>Fuob#2458</v>
          </cell>
        </row>
        <row r="394">
          <cell r="C394" t="str">
            <v xml:space="preserve">The Golden FryFish </v>
          </cell>
          <cell r="D394" t="str">
            <v>Jon#1372</v>
          </cell>
        </row>
        <row r="395">
          <cell r="C395" t="str">
            <v xml:space="preserve">The Golden FryFish </v>
          </cell>
          <cell r="D395" t="str">
            <v>Oracle#2392</v>
          </cell>
        </row>
        <row r="396">
          <cell r="C396" t="str">
            <v xml:space="preserve">The Golden FryFish </v>
          </cell>
          <cell r="D396" t="str">
            <v>Red826#1719</v>
          </cell>
        </row>
        <row r="397">
          <cell r="C397" t="str">
            <v>Tiger Shark</v>
          </cell>
          <cell r="D397" t="str">
            <v>lingling#1117</v>
          </cell>
        </row>
        <row r="398">
          <cell r="C398" t="str">
            <v>Tiger Shark</v>
          </cell>
          <cell r="D398" t="str">
            <v>Neon#1405</v>
          </cell>
        </row>
        <row r="399">
          <cell r="C399" t="str">
            <v>Tiger Shark</v>
          </cell>
          <cell r="D399" t="str">
            <v>NeverLucky#1548</v>
          </cell>
        </row>
        <row r="400">
          <cell r="C400" t="str">
            <v>Tiger Shark</v>
          </cell>
          <cell r="D400" t="str">
            <v>Rati0#1802</v>
          </cell>
        </row>
        <row r="401">
          <cell r="C401" t="str">
            <v>Tiger Shark</v>
          </cell>
          <cell r="D401" t="str">
            <v>Retrogade#2502</v>
          </cell>
        </row>
        <row r="402">
          <cell r="C402" t="str">
            <v>UCSD Esports Gold</v>
          </cell>
          <cell r="D402" t="str">
            <v>CD_Woomy#5094</v>
          </cell>
        </row>
        <row r="403">
          <cell r="C403" t="str">
            <v>UCSD Esports Gold</v>
          </cell>
          <cell r="D403" t="str">
            <v>Coαster#2204</v>
          </cell>
        </row>
        <row r="404">
          <cell r="C404" t="str">
            <v>UCSD Esports Gold</v>
          </cell>
          <cell r="D404" t="str">
            <v>DilucMpreg#7972</v>
          </cell>
        </row>
        <row r="405">
          <cell r="C405" t="str">
            <v>UCSD Esports Gold</v>
          </cell>
          <cell r="D405" t="str">
            <v>Goat Child#2734</v>
          </cell>
        </row>
        <row r="406">
          <cell r="C406" t="str">
            <v>UCSD Esports Gold</v>
          </cell>
          <cell r="D406" t="str">
            <v>sunlight#2104</v>
          </cell>
        </row>
        <row r="407">
          <cell r="C407" t="str">
            <v>UCSD Esports Gold</v>
          </cell>
          <cell r="D407" t="str">
            <v>ψ εηdυh™#1915</v>
          </cell>
        </row>
        <row r="408">
          <cell r="C408" t="str">
            <v>UCSD Esports Navy</v>
          </cell>
          <cell r="D408" t="str">
            <v>ψ buca#2695</v>
          </cell>
        </row>
        <row r="409">
          <cell r="C409" t="str">
            <v>UCSD Esports Navy</v>
          </cell>
          <cell r="D409" t="str">
            <v>ψ Frosty!#7549</v>
          </cell>
        </row>
        <row r="410">
          <cell r="C410" t="str">
            <v>UCSD Esports Navy</v>
          </cell>
          <cell r="D410" t="str">
            <v>ψ Ocean#2510</v>
          </cell>
        </row>
        <row r="411">
          <cell r="C411" t="str">
            <v>UCSD Esports Navy</v>
          </cell>
          <cell r="D411" t="str">
            <v>Ψ Ryunn#3000</v>
          </cell>
        </row>
        <row r="412">
          <cell r="C412" t="str">
            <v>UCSD Esports Navy</v>
          </cell>
          <cell r="D412" t="str">
            <v>ψ saμce☆#4931</v>
          </cell>
        </row>
        <row r="413">
          <cell r="C413" t="str">
            <v>UGA Black</v>
          </cell>
          <cell r="D413" t="str">
            <v>ash ♪#1019</v>
          </cell>
        </row>
        <row r="414">
          <cell r="C414" t="str">
            <v>UGA Black</v>
          </cell>
          <cell r="D414" t="str">
            <v>Candy#2530</v>
          </cell>
        </row>
        <row r="415">
          <cell r="C415" t="str">
            <v>UGA Black</v>
          </cell>
          <cell r="D415" t="str">
            <v>DeDeDeadly#2426</v>
          </cell>
        </row>
        <row r="416">
          <cell r="C416" t="str">
            <v>UGA Black</v>
          </cell>
          <cell r="D416" t="str">
            <v>HT#3107</v>
          </cell>
        </row>
        <row r="417">
          <cell r="C417" t="str">
            <v>UGA Black</v>
          </cell>
          <cell r="D417" t="str">
            <v>Stingray#2059</v>
          </cell>
        </row>
        <row r="418">
          <cell r="C418" t="str">
            <v>UH Premiere</v>
          </cell>
          <cell r="D418" t="str">
            <v>...Dio#3170</v>
          </cell>
        </row>
        <row r="419">
          <cell r="C419" t="str">
            <v>UH Premiere</v>
          </cell>
          <cell r="D419" t="str">
            <v>Churro#3232</v>
          </cell>
        </row>
        <row r="420">
          <cell r="C420" t="str">
            <v>UH Premiere</v>
          </cell>
          <cell r="D420" t="str">
            <v>Ell#2328</v>
          </cell>
        </row>
        <row r="421">
          <cell r="C421" t="str">
            <v>UH Premiere</v>
          </cell>
          <cell r="D421" t="str">
            <v>LPSvsS#2158</v>
          </cell>
        </row>
        <row r="422">
          <cell r="C422" t="str">
            <v>UH Premiere</v>
          </cell>
          <cell r="D422" t="str">
            <v>Nasu11910#2918</v>
          </cell>
        </row>
        <row r="423">
          <cell r="C423" t="str">
            <v>UH Premiere</v>
          </cell>
          <cell r="D423" t="str">
            <v>poyo#2789</v>
          </cell>
        </row>
        <row r="424">
          <cell r="C424" t="str">
            <v>UH Premiere</v>
          </cell>
          <cell r="D424" t="str">
            <v>SoundWave#1417</v>
          </cell>
        </row>
        <row r="425">
          <cell r="C425" t="str">
            <v>UH Premiere</v>
          </cell>
          <cell r="D425" t="str">
            <v>Systus#2389</v>
          </cell>
        </row>
        <row r="426">
          <cell r="C426" t="str">
            <v>Undertow Dartfish</v>
          </cell>
          <cell r="D426" t="str">
            <v>☆Kitsune☆#2198</v>
          </cell>
        </row>
        <row r="427">
          <cell r="C427" t="str">
            <v>Undertow Dartfish</v>
          </cell>
          <cell r="D427" t="str">
            <v>☆Wolf☆#5911</v>
          </cell>
        </row>
        <row r="428">
          <cell r="C428" t="str">
            <v>Undertow Dartfish</v>
          </cell>
          <cell r="D428" t="str">
            <v>Addy#4903</v>
          </cell>
        </row>
        <row r="429">
          <cell r="C429" t="str">
            <v>Undertow Dartfish</v>
          </cell>
          <cell r="D429" t="str">
            <v>almojo#2022</v>
          </cell>
        </row>
        <row r="430">
          <cell r="C430" t="str">
            <v>Undertow Dartfish</v>
          </cell>
          <cell r="D430" t="str">
            <v>sulfie#2618</v>
          </cell>
        </row>
        <row r="431">
          <cell r="C431" t="str">
            <v>Undertow Dartfish</v>
          </cell>
          <cell r="D431" t="str">
            <v>William#1626</v>
          </cell>
        </row>
        <row r="432">
          <cell r="C432" t="str">
            <v>Unidentified Flyfish Outbreak (UFO)</v>
          </cell>
          <cell r="D432" t="str">
            <v>☆Ink⏜*♪#8367</v>
          </cell>
        </row>
        <row r="433">
          <cell r="C433" t="str">
            <v>Unidentified Flyfish Outbreak (UFO)</v>
          </cell>
          <cell r="D433" t="str">
            <v>noob⏜* #1428</v>
          </cell>
        </row>
        <row r="434">
          <cell r="C434" t="str">
            <v>Unidentified Flyfish Outbreak (UFO)</v>
          </cell>
          <cell r="D434" t="str">
            <v>silly.mp4#8246</v>
          </cell>
        </row>
        <row r="435">
          <cell r="C435" t="str">
            <v>Unidentified Flyfish Outbreak (UFO)</v>
          </cell>
          <cell r="D435" t="str">
            <v>Spam⏜*#4043</v>
          </cell>
        </row>
        <row r="436">
          <cell r="C436" t="str">
            <v>Unidentified Flyfish Outbreak (UFO)</v>
          </cell>
          <cell r="D436" t="str">
            <v>Tzar#3856</v>
          </cell>
        </row>
        <row r="437">
          <cell r="C437" t="str">
            <v>UWW White</v>
          </cell>
          <cell r="D437" t="str">
            <v>UWW BINCH#1761</v>
          </cell>
        </row>
        <row r="438">
          <cell r="C438" t="str">
            <v>UWW White</v>
          </cell>
          <cell r="D438" t="str">
            <v>UWW DJRMBA#8096</v>
          </cell>
        </row>
        <row r="439">
          <cell r="C439" t="str">
            <v>UWW White</v>
          </cell>
          <cell r="D439" t="str">
            <v>UWW ELLIE#3355</v>
          </cell>
        </row>
        <row r="440">
          <cell r="C440" t="str">
            <v>UWW White</v>
          </cell>
          <cell r="D440" t="str">
            <v>UWW FLUBBY#1529</v>
          </cell>
        </row>
        <row r="441">
          <cell r="C441" t="str">
            <v>UWW White</v>
          </cell>
          <cell r="D441" t="str">
            <v>UWW Quag#2355</v>
          </cell>
        </row>
        <row r="442">
          <cell r="C442" t="str">
            <v>UWW White</v>
          </cell>
          <cell r="D442" t="str">
            <v>UWWnemasis#1350</v>
          </cell>
        </row>
        <row r="443">
          <cell r="C443" t="str">
            <v>VCU Ink Black</v>
          </cell>
          <cell r="D443" t="str">
            <v>[IB]zorawg#1569</v>
          </cell>
        </row>
        <row r="444">
          <cell r="C444" t="str">
            <v>VCU Ink Black</v>
          </cell>
          <cell r="D444" t="str">
            <v>IB.Mini#2103</v>
          </cell>
        </row>
        <row r="445">
          <cell r="C445" t="str">
            <v>VCU Ink Black</v>
          </cell>
          <cell r="D445" t="str">
            <v>IB.Wyatt#2540</v>
          </cell>
        </row>
        <row r="446">
          <cell r="C446" t="str">
            <v>VCU Ink Black</v>
          </cell>
          <cell r="D446" t="str">
            <v>IB♩zorawg#8529</v>
          </cell>
        </row>
        <row r="447">
          <cell r="C447" t="str">
            <v>VCU Ink Black</v>
          </cell>
          <cell r="D447" t="str">
            <v>IB™Novaden#2723</v>
          </cell>
        </row>
        <row r="448">
          <cell r="C448" t="str">
            <v>VCU Ink Black</v>
          </cell>
          <cell r="D448" t="str">
            <v>spaceseals#1335</v>
          </cell>
        </row>
        <row r="449">
          <cell r="C449" t="str">
            <v>VCU Ink Black</v>
          </cell>
          <cell r="D449" t="str">
            <v>SylphLux#1917</v>
          </cell>
        </row>
        <row r="450">
          <cell r="C450" t="str">
            <v>VCU Ink Black</v>
          </cell>
          <cell r="D450" t="str">
            <v>TotoStar#2777</v>
          </cell>
        </row>
        <row r="451">
          <cell r="C451" t="str">
            <v>VCU Ink Black</v>
          </cell>
          <cell r="D451" t="str">
            <v>Wyatt#2540</v>
          </cell>
        </row>
        <row r="452">
          <cell r="C452" t="str">
            <v>Vermillion Tides</v>
          </cell>
          <cell r="D452" t="str">
            <v>Dino#3129</v>
          </cell>
        </row>
        <row r="453">
          <cell r="C453" t="str">
            <v>Vermillion Tides</v>
          </cell>
          <cell r="D453" t="str">
            <v>G Oblivion#6242</v>
          </cell>
        </row>
        <row r="454">
          <cell r="C454" t="str">
            <v>Vermillion Tides</v>
          </cell>
          <cell r="D454" t="str">
            <v>KESS 2041#1445</v>
          </cell>
        </row>
        <row r="455">
          <cell r="C455" t="str">
            <v>Vermillion Tides</v>
          </cell>
          <cell r="D455" t="str">
            <v>Kleb#3052</v>
          </cell>
        </row>
        <row r="456">
          <cell r="C456" t="str">
            <v>Vermillion Tides</v>
          </cell>
          <cell r="D456" t="str">
            <v>RaphayL#2997</v>
          </cell>
        </row>
        <row r="457">
          <cell r="C457" t="str">
            <v>Villanova Wildsplats</v>
          </cell>
          <cell r="D457" t="str">
            <v>BlazingDan#1317</v>
          </cell>
        </row>
        <row r="458">
          <cell r="C458" t="str">
            <v>Villanova Wildsplats</v>
          </cell>
          <cell r="D458" t="str">
            <v>EstrgnBrgr#2063</v>
          </cell>
        </row>
        <row r="459">
          <cell r="C459" t="str">
            <v>Villanova Wildsplats</v>
          </cell>
          <cell r="D459" t="str">
            <v>Pie#1683</v>
          </cell>
        </row>
        <row r="460">
          <cell r="C460" t="str">
            <v>Villanova Wildsplats</v>
          </cell>
          <cell r="D460" t="str">
            <v>Rasta#9337</v>
          </cell>
        </row>
        <row r="461">
          <cell r="C461" t="str">
            <v>Villanova Wildsplats</v>
          </cell>
          <cell r="D461" t="str">
            <v>Sunny#1423</v>
          </cell>
        </row>
        <row r="462">
          <cell r="C462" t="str">
            <v>Violet Legion</v>
          </cell>
          <cell r="D462" t="str">
            <v>Aqours!#2506</v>
          </cell>
        </row>
        <row r="463">
          <cell r="C463" t="str">
            <v>Violet Legion</v>
          </cell>
          <cell r="D463" t="str">
            <v>Chaos#9270</v>
          </cell>
        </row>
        <row r="464">
          <cell r="C464" t="str">
            <v>Violet Legion</v>
          </cell>
          <cell r="D464" t="str">
            <v>DahrieIV#1996</v>
          </cell>
        </row>
        <row r="465">
          <cell r="C465" t="str">
            <v>Violet Legion</v>
          </cell>
          <cell r="D465" t="str">
            <v>Malakazam!#1310</v>
          </cell>
        </row>
        <row r="466">
          <cell r="C466" t="str">
            <v>Violet Legion</v>
          </cell>
          <cell r="D466" t="str">
            <v>weezerfan4#1340</v>
          </cell>
        </row>
        <row r="467">
          <cell r="C467" t="str">
            <v>Violet Legion</v>
          </cell>
          <cell r="D467" t="str">
            <v>Wetclaw#1721</v>
          </cell>
        </row>
        <row r="468">
          <cell r="C468" t="str">
            <v>WVU</v>
          </cell>
          <cell r="D468" t="str">
            <v>Doc#2265</v>
          </cell>
        </row>
        <row r="469">
          <cell r="C469" t="str">
            <v>WVU</v>
          </cell>
          <cell r="D469" t="str">
            <v>J'ack #8654</v>
          </cell>
        </row>
        <row r="470">
          <cell r="C470" t="str">
            <v>WVU</v>
          </cell>
          <cell r="D470" t="str">
            <v>Spcer #1016</v>
          </cell>
        </row>
        <row r="471">
          <cell r="C471" t="str">
            <v>WVU</v>
          </cell>
          <cell r="D471" t="str">
            <v>Splat Cat™#1812</v>
          </cell>
        </row>
        <row r="472">
          <cell r="C472" t="str">
            <v>WVU</v>
          </cell>
          <cell r="D472" t="str">
            <v>Stormy#3240</v>
          </cell>
        </row>
        <row r="473">
          <cell r="C473" t="str">
            <v>WVU</v>
          </cell>
          <cell r="D473" t="str">
            <v>Xandra#9355</v>
          </cell>
        </row>
        <row r="474">
          <cell r="C474" t="str">
            <v>Wyrmwind</v>
          </cell>
          <cell r="D474" t="str">
            <v>ω Gillies#1918</v>
          </cell>
        </row>
        <row r="475">
          <cell r="C475" t="str">
            <v>Wyrmwind</v>
          </cell>
          <cell r="D475" t="str">
            <v>ω grace^^ #3155</v>
          </cell>
        </row>
        <row r="476">
          <cell r="C476" t="str">
            <v>Wyrmwind</v>
          </cell>
          <cell r="D476" t="str">
            <v>ω Mαηtιs #8427</v>
          </cell>
        </row>
        <row r="477">
          <cell r="C477" t="str">
            <v>Wyrmwind</v>
          </cell>
          <cell r="D477" t="str">
            <v>ω Turple♪#3107</v>
          </cell>
        </row>
        <row r="478">
          <cell r="C478" t="str">
            <v>Wyrmwind</v>
          </cell>
          <cell r="D478" t="str">
            <v>ω WitchBoi#1299</v>
          </cell>
        </row>
      </sheetData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tro"/>
      <sheetName val="Vertical (Coming Soon)"/>
      <sheetName val="04701680204"/>
      <sheetName val="02501680203"/>
      <sheetName val="01600980206"/>
      <sheetName val="00900280206"/>
      <sheetName val="00800380206"/>
      <sheetName val="01500380205"/>
      <sheetName val="00900180205"/>
      <sheetName val="08400280205"/>
      <sheetName val="00700280204"/>
      <sheetName val="01000980204"/>
      <sheetName val="02400180204"/>
      <sheetName val="05600380204"/>
      <sheetName val="03300380202"/>
      <sheetName val="04701580203"/>
      <sheetName val="01000780203"/>
      <sheetName val="02200380201"/>
      <sheetName val="ValidationTables"/>
      <sheetName val="CCA_Match_Data_Entry_v1.0 (1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8A2C-CE94-4A8B-A766-BC057E2E6F31}">
  <sheetPr codeName="Sheet22"/>
  <dimension ref="A1:R80"/>
  <sheetViews>
    <sheetView tabSelected="1" showOutlineSymbols="0" showWhiteSpace="0" workbookViewId="0">
      <selection activeCell="B6" sqref="B6"/>
    </sheetView>
  </sheetViews>
  <sheetFormatPr defaultRowHeight="15" x14ac:dyDescent="0.25"/>
  <cols>
    <col min="1" max="2" width="21.140625" bestFit="1" customWidth="1"/>
    <col min="3" max="3" width="5.5703125" bestFit="1" customWidth="1"/>
    <col min="4" max="4" width="21.140625" bestFit="1" customWidth="1"/>
    <col min="5" max="7" width="8.5703125" bestFit="1" customWidth="1"/>
    <col min="8" max="8" width="14.140625" bestFit="1" customWidth="1"/>
    <col min="9" max="9" width="8.5703125" bestFit="1" customWidth="1"/>
    <col min="10" max="10" width="17" bestFit="1" customWidth="1"/>
    <col min="11" max="11" width="20.42578125" bestFit="1" customWidth="1"/>
    <col min="12" max="14" width="8.5703125" bestFit="1" customWidth="1"/>
    <col min="15" max="15" width="7.140625" bestFit="1" customWidth="1"/>
    <col min="16" max="16" width="8.140625" bestFit="1" customWidth="1"/>
    <col min="17" max="17" width="14.140625" customWidth="1"/>
    <col min="18" max="18" width="12" bestFit="1" customWidth="1"/>
    <col min="19" max="19" width="7.42578125" customWidth="1"/>
  </cols>
  <sheetData>
    <row r="1" spans="1:18" x14ac:dyDescent="0.25">
      <c r="A1" s="12" t="s">
        <v>29</v>
      </c>
      <c r="B1" s="12"/>
      <c r="D1" t="s">
        <v>28</v>
      </c>
      <c r="E1" t="s">
        <v>8</v>
      </c>
      <c r="F1" t="s">
        <v>7</v>
      </c>
      <c r="G1" t="s">
        <v>6</v>
      </c>
      <c r="I1" t="s">
        <v>5</v>
      </c>
      <c r="J1" t="s">
        <v>4</v>
      </c>
      <c r="K1" t="s">
        <v>3</v>
      </c>
      <c r="L1" t="s">
        <v>2</v>
      </c>
      <c r="M1" t="s">
        <v>1</v>
      </c>
      <c r="N1" t="s">
        <v>0</v>
      </c>
    </row>
    <row r="2" spans="1:18" x14ac:dyDescent="0.25">
      <c r="A2" t="s">
        <v>27</v>
      </c>
      <c r="B2" t="s">
        <v>26</v>
      </c>
      <c r="D2" t="s">
        <v>25</v>
      </c>
      <c r="E2" t="str">
        <f>IFERROR(_xlfn.XLOOKUP((_xlfn.XLOOKUP($B$3,[2]!Event[Name],[2]!Event[Index],,0)*10000)+($B$4*100)+(_xlfn.NUMBERVALUE(RIGHT(E$1,2))),[2]!Maplist[SMN],[2]!Maplist[Map],"",0),"")</f>
        <v/>
      </c>
      <c r="F2" t="str">
        <f>IFERROR(_xlfn.XLOOKUP((_xlfn.XLOOKUP($B$3,[2]!Event[Name],[2]!Event[Index],,0)*10000)+($B$4*100)+(_xlfn.NUMBERVALUE(RIGHT(F$1,2))),[2]!Maplist[SMN],[2]!Maplist[Map],"",0),"")</f>
        <v/>
      </c>
      <c r="G2" t="str">
        <f>IFERROR(_xlfn.XLOOKUP((_xlfn.XLOOKUP($B$3,[2]!Event[Name],[2]!Event[Index],,0)*10000)+($B$4*100)+(_xlfn.NUMBERVALUE(RIGHT(G$1,2))),[2]!Maplist[SMN],[2]!Maplist[Map],"",0),"")</f>
        <v/>
      </c>
      <c r="I2" t="str">
        <f>IFERROR(_xlfn.XLOOKUP((_xlfn.XLOOKUP($B$3,[2]!Event[Name],[2]!Event[Index],,0)*10000)+($B$4*100)+(_xlfn.NUMBERVALUE(RIGHT(I$1,2))),[2]!Maplist[SMN],[2]!Maplist[Map],"",0),"")</f>
        <v/>
      </c>
      <c r="J2" t="str">
        <f>IFERROR(_xlfn.XLOOKUP((_xlfn.XLOOKUP($B$3,[2]!Event[Name],[2]!Event[Index],,0)*10000)+($B$4*100)+(_xlfn.NUMBERVALUE(RIGHT(J$1,2))),[2]!Maplist[SMN],[2]!Maplist[Map],"",0),"")</f>
        <v/>
      </c>
      <c r="K2" t="str">
        <f>IFERROR(_xlfn.XLOOKUP((_xlfn.XLOOKUP($B$3,[2]!Event[Name],[2]!Event[Index],,0)*10000)+($B$4*100)+(_xlfn.NUMBERVALUE(RIGHT(K$1,2))),[2]!Maplist[SMN],[2]!Maplist[Map],"",0),"")</f>
        <v/>
      </c>
      <c r="L2" t="str">
        <f>IFERROR(_xlfn.XLOOKUP((_xlfn.XLOOKUP($B$3,[2]!Event[Name],[2]!Event[Index],,0)*10000)+($B$4*100)+(_xlfn.NUMBERVALUE(RIGHT(L$1,2))),[2]!Maplist[SMN],[2]!Maplist[Map],"",0),"")</f>
        <v/>
      </c>
      <c r="M2" t="str">
        <f>IFERROR(_xlfn.XLOOKUP((_xlfn.XLOOKUP($B$3,[2]!Event[Name],[2]!Event[Index],,0)*10000)+($B$4*100)+(_xlfn.NUMBERVALUE(RIGHT(M$1,2))),[2]!Maplist[SMN],[2]!Maplist[Map],"",0),"")</f>
        <v/>
      </c>
      <c r="N2" t="str">
        <f>IFERROR(_xlfn.XLOOKUP((_xlfn.XLOOKUP($B$3,[2]!Event[Name],[2]!Event[Index],,0)*10000)+($B$4*100)+(_xlfn.NUMBERVALUE(RIGHT(N$1,2))),[2]!Maplist[SMN],[2]!Maplist[Map],"",0),"")</f>
        <v/>
      </c>
      <c r="P2" t="s">
        <v>24</v>
      </c>
      <c r="R2" s="11" t="str" cm="1">
        <f t="array" ref="R2">MLN($B$5,$B$6,$B$3,$B$4)</f>
        <v>00000080204</v>
      </c>
    </row>
    <row r="3" spans="1:18" x14ac:dyDescent="0.25">
      <c r="A3" t="s">
        <v>23</v>
      </c>
      <c r="B3" t="s">
        <v>22</v>
      </c>
      <c r="D3" t="s">
        <v>21</v>
      </c>
      <c r="E3" t="str">
        <f>IFERROR(_xlfn.XLOOKUP((_xlfn.XLOOKUP($B$3,[2]!Event[Name],[2]!Event[Index],,0)*10000)+($B$4*100)+(_xlfn.NUMBERVALUE(RIGHT(E$1,2))),[2]!Maplist[SMN],[2]!Maplist[Mode],"",0),"")</f>
        <v/>
      </c>
      <c r="F3" t="str">
        <f>IFERROR(_xlfn.XLOOKUP((_xlfn.XLOOKUP($B$3,[2]!Event[Name],[2]!Event[Index],,0)*10000)+($B$4*100)+(_xlfn.NUMBERVALUE(RIGHT(F$1,2))),[2]!Maplist[SMN],[2]!Maplist[Mode],"",0),"")</f>
        <v/>
      </c>
      <c r="G3" t="str">
        <f>IFERROR(_xlfn.XLOOKUP((_xlfn.XLOOKUP($B$3,[2]!Event[Name],[2]!Event[Index],,0)*10000)+($B$4*100)+(_xlfn.NUMBERVALUE(RIGHT(G$1,2))),[2]!Maplist[SMN],[2]!Maplist[Mode],"",0),"")</f>
        <v/>
      </c>
      <c r="I3" t="str">
        <f>IFERROR(_xlfn.XLOOKUP((_xlfn.XLOOKUP($B$3,[2]!Event[Name],[2]!Event[Index],,0)*10000)+($B$4*100)+(_xlfn.NUMBERVALUE(RIGHT(I$1,2))),[2]!Maplist[SMN],[2]!Maplist[Mode],"",0),"")</f>
        <v/>
      </c>
      <c r="J3" t="str">
        <f>IFERROR(_xlfn.XLOOKUP((_xlfn.XLOOKUP($B$3,[2]!Event[Name],[2]!Event[Index],,0)*10000)+($B$4*100)+(_xlfn.NUMBERVALUE(RIGHT(J$1,2))),[2]!Maplist[SMN],[2]!Maplist[Mode],"",0),"")</f>
        <v/>
      </c>
      <c r="K3" t="str">
        <f>IFERROR(_xlfn.XLOOKUP((_xlfn.XLOOKUP($B$3,[2]!Event[Name],[2]!Event[Index],,0)*10000)+($B$4*100)+(_xlfn.NUMBERVALUE(RIGHT(K$1,2))),[2]!Maplist[SMN],[2]!Maplist[Mode],"",0),"")</f>
        <v/>
      </c>
      <c r="L3" t="str">
        <f>IFERROR(_xlfn.XLOOKUP((_xlfn.XLOOKUP($B$3,[2]!Event[Name],[2]!Event[Index],,0)*10000)+($B$4*100)+(_xlfn.NUMBERVALUE(RIGHT(L$1,2))),[2]!Maplist[SMN],[2]!Maplist[Mode],"",0),"")</f>
        <v/>
      </c>
      <c r="M3" t="str">
        <f>IFERROR(_xlfn.XLOOKUP((_xlfn.XLOOKUP($B$3,[2]!Event[Name],[2]!Event[Index],,0)*10000)+($B$4*100)+(_xlfn.NUMBERVALUE(RIGHT(M$1,2))),[2]!Maplist[SMN],[2]!Maplist[Mode],"",0),"")</f>
        <v/>
      </c>
      <c r="N3" t="str">
        <f>IFERROR(_xlfn.XLOOKUP((_xlfn.XLOOKUP($B$3,[2]!Event[Name],[2]!Event[Index],,0)*10000)+($B$4*100)+(_xlfn.NUMBERVALUE(RIGHT(N$1,2))),[2]!Maplist[SMN],[2]!Maplist[Mode],"",0),"")</f>
        <v/>
      </c>
      <c r="R3" s="10" t="s">
        <v>20</v>
      </c>
    </row>
    <row r="4" spans="1:18" x14ac:dyDescent="0.25">
      <c r="A4" t="s">
        <v>19</v>
      </c>
      <c r="B4">
        <v>4</v>
      </c>
      <c r="D4" t="str">
        <f>IF(B5="","",B5)</f>
        <v/>
      </c>
      <c r="E4">
        <v>54</v>
      </c>
      <c r="G4">
        <v>0</v>
      </c>
      <c r="I4">
        <v>70</v>
      </c>
      <c r="K4">
        <v>0</v>
      </c>
    </row>
    <row r="5" spans="1:18" x14ac:dyDescent="0.25">
      <c r="A5" t="s">
        <v>18</v>
      </c>
      <c r="D5" t="str">
        <f>IF(B6="","",B6)</f>
        <v/>
      </c>
      <c r="E5">
        <v>97</v>
      </c>
      <c r="G5">
        <v>100</v>
      </c>
      <c r="I5">
        <v>66</v>
      </c>
      <c r="K5">
        <v>100</v>
      </c>
    </row>
    <row r="6" spans="1:18" x14ac:dyDescent="0.25">
      <c r="A6" t="s">
        <v>17</v>
      </c>
      <c r="D6" t="s">
        <v>16</v>
      </c>
      <c r="E6" s="9">
        <v>0.20833333333333334</v>
      </c>
      <c r="F6" s="9"/>
      <c r="G6" s="9">
        <v>0.11527777777777777</v>
      </c>
      <c r="I6" s="9">
        <v>0.20833333333333334</v>
      </c>
      <c r="J6" s="9"/>
      <c r="K6" s="9">
        <v>0.1875</v>
      </c>
      <c r="L6" s="9"/>
    </row>
    <row r="8" spans="1:18" ht="15.75" thickBot="1" x14ac:dyDescent="0.3">
      <c r="A8" t="str">
        <f>IF(B5="","",B5)</f>
        <v/>
      </c>
      <c r="B8" t="s">
        <v>15</v>
      </c>
      <c r="C8" t="s">
        <v>14</v>
      </c>
      <c r="D8" t="s">
        <v>13</v>
      </c>
      <c r="E8" t="s">
        <v>12</v>
      </c>
      <c r="F8" t="s">
        <v>11</v>
      </c>
      <c r="G8" t="s">
        <v>10</v>
      </c>
      <c r="H8" t="s">
        <v>9</v>
      </c>
      <c r="J8" t="str">
        <f>IF(B6="","",B6)</f>
        <v/>
      </c>
      <c r="K8" t="s">
        <v>15</v>
      </c>
      <c r="L8" t="s">
        <v>14</v>
      </c>
      <c r="M8" t="s">
        <v>13</v>
      </c>
      <c r="N8" t="s">
        <v>12</v>
      </c>
      <c r="O8" t="s">
        <v>11</v>
      </c>
      <c r="P8" t="s">
        <v>10</v>
      </c>
      <c r="Q8" t="s">
        <v>9</v>
      </c>
    </row>
    <row r="9" spans="1:18" x14ac:dyDescent="0.25">
      <c r="A9" s="8" t="str" cm="1">
        <f t="array" ref="A9">_xlfn.TAKE(_xlfn._xlws.FILTER(IGN,Teams=$B$5,""),8,1)</f>
        <v/>
      </c>
      <c r="B9" s="7"/>
      <c r="C9" s="7"/>
      <c r="D9" s="7"/>
      <c r="E9" s="7"/>
      <c r="F9" s="7"/>
      <c r="G9" s="7"/>
      <c r="H9" s="7" t="str">
        <f>LEFT($R$2,11)&amp;RIGHT(R9,2)</f>
        <v>0000008020401</v>
      </c>
      <c r="I9" s="7"/>
      <c r="J9" s="7" t="str" cm="1">
        <f t="array" ref="J9">_xlfn.TAKE(_xlfn._xlws.FILTER(IGN,Teams=$B$6,""),8,1)</f>
        <v/>
      </c>
      <c r="K9" s="7"/>
      <c r="L9" s="7"/>
      <c r="M9" s="7"/>
      <c r="N9" s="7"/>
      <c r="O9" s="7"/>
      <c r="P9" s="7"/>
      <c r="Q9" s="7" t="str">
        <f>LEFT($R$2,11)&amp;RIGHT(R9,2)</f>
        <v>0000008020401</v>
      </c>
      <c r="R9" s="6" t="s">
        <v>8</v>
      </c>
    </row>
    <row r="10" spans="1:18" x14ac:dyDescent="0.25">
      <c r="A10" s="5"/>
      <c r="C10" t="s">
        <v>30</v>
      </c>
      <c r="H10" t="str">
        <f>LEFT($R$2,11)&amp;RIGHT(R9,2)</f>
        <v>0000008020401</v>
      </c>
      <c r="Q10" t="str">
        <f>LEFT($R$2,11)&amp;RIGHT(R9,2)</f>
        <v>0000008020401</v>
      </c>
      <c r="R10" s="4"/>
    </row>
    <row r="11" spans="1:18" x14ac:dyDescent="0.25">
      <c r="A11" s="5"/>
      <c r="H11" t="str">
        <f>LEFT($R$2,11)&amp;RIGHT(R9,2)</f>
        <v>0000008020401</v>
      </c>
      <c r="Q11" t="str">
        <f>LEFT($R$2,11)&amp;RIGHT(R9,2)</f>
        <v>0000008020401</v>
      </c>
      <c r="R11" s="4"/>
    </row>
    <row r="12" spans="1:18" x14ac:dyDescent="0.25">
      <c r="A12" s="5"/>
      <c r="H12" t="str">
        <f>LEFT($R$2,11)&amp;RIGHT(R9,2)</f>
        <v>0000008020401</v>
      </c>
      <c r="Q12" t="str">
        <f>LEFT($R$2,11)&amp;RIGHT(R9,2)</f>
        <v>0000008020401</v>
      </c>
      <c r="R12" s="4"/>
    </row>
    <row r="13" spans="1:18" x14ac:dyDescent="0.25">
      <c r="A13" s="5"/>
      <c r="H13" t="str">
        <f>LEFT($R$2,11)&amp;RIGHT(R9,2)</f>
        <v>0000008020401</v>
      </c>
      <c r="Q13" t="str">
        <f>LEFT($R$2,11)&amp;RIGHT(R9,2)</f>
        <v>0000008020401</v>
      </c>
      <c r="R13" s="4"/>
    </row>
    <row r="14" spans="1:18" x14ac:dyDescent="0.25">
      <c r="A14" s="5"/>
      <c r="H14" t="str">
        <f>LEFT($R$2,11)&amp;RIGHT(R9,2)</f>
        <v>0000008020401</v>
      </c>
      <c r="Q14" t="str">
        <f>LEFT($R$2,11)&amp;RIGHT(R9,2)</f>
        <v>0000008020401</v>
      </c>
      <c r="R14" s="4"/>
    </row>
    <row r="15" spans="1:18" x14ac:dyDescent="0.25">
      <c r="A15" s="5"/>
      <c r="H15" t="str">
        <f>LEFT($R$2,11)&amp;RIGHT(R9,2)</f>
        <v>0000008020401</v>
      </c>
      <c r="Q15" t="str">
        <f>LEFT($R$2,11)&amp;RIGHT(R9,2)</f>
        <v>0000008020401</v>
      </c>
      <c r="R15" s="4"/>
    </row>
    <row r="16" spans="1:18" ht="15.75" thickBot="1" x14ac:dyDescent="0.3">
      <c r="A16" s="3"/>
      <c r="B16" s="2"/>
      <c r="C16" s="2"/>
      <c r="D16" s="2"/>
      <c r="E16" s="2"/>
      <c r="F16" s="2"/>
      <c r="G16" s="2"/>
      <c r="H16" s="2" t="str">
        <f>LEFT($R$2,11)&amp;RIGHT(R9,2)</f>
        <v>0000008020401</v>
      </c>
      <c r="I16" s="2"/>
      <c r="J16" s="2"/>
      <c r="K16" s="2"/>
      <c r="L16" s="2"/>
      <c r="M16" s="2"/>
      <c r="N16" s="2"/>
      <c r="O16" s="2"/>
      <c r="P16" s="2"/>
      <c r="Q16" s="2" t="str">
        <f>LEFT($R$2,11)&amp;RIGHT(R9,2)</f>
        <v>0000008020401</v>
      </c>
      <c r="R16" s="1"/>
    </row>
    <row r="17" spans="1:18" ht="15" customHeight="1" x14ac:dyDescent="0.25">
      <c r="A17" s="7" t="str" cm="1">
        <f t="array" ref="A17">_xlfn.ANCHORARRAY(A9)</f>
        <v/>
      </c>
      <c r="B17" s="7"/>
      <c r="C17" s="7"/>
      <c r="D17" s="7"/>
      <c r="E17" s="7"/>
      <c r="F17" s="7"/>
      <c r="G17" s="7"/>
      <c r="H17" s="7" t="str">
        <f>LEFT($R$2,11)&amp;RIGHT(R17,2)</f>
        <v>0000008020402</v>
      </c>
      <c r="I17" s="7"/>
      <c r="J17" s="7" t="str" cm="1">
        <f t="array" ref="J17">_xlfn.ANCHORARRAY(J9)</f>
        <v/>
      </c>
      <c r="K17" s="7"/>
      <c r="L17" s="7"/>
      <c r="M17" s="7"/>
      <c r="N17" s="7"/>
      <c r="O17" s="7"/>
      <c r="P17" s="7"/>
      <c r="Q17" s="7" t="str">
        <f>LEFT($R$2,11)&amp;RIGHT(R17,2)</f>
        <v>0000008020402</v>
      </c>
      <c r="R17" s="6" t="s">
        <v>7</v>
      </c>
    </row>
    <row r="18" spans="1:18" x14ac:dyDescent="0.25">
      <c r="H18" t="str">
        <f>LEFT($R$2,11)&amp;RIGHT(R17,2)</f>
        <v>0000008020402</v>
      </c>
      <c r="Q18" t="str">
        <f>LEFT($R$2,11)&amp;RIGHT(R17,2)</f>
        <v>0000008020402</v>
      </c>
      <c r="R18" s="4"/>
    </row>
    <row r="19" spans="1:18" x14ac:dyDescent="0.25">
      <c r="H19" t="str">
        <f>LEFT($R$2,11)&amp;RIGHT(R17,2)</f>
        <v>0000008020402</v>
      </c>
      <c r="Q19" t="str">
        <f>LEFT($R$2,11)&amp;RIGHT(R17,2)</f>
        <v>0000008020402</v>
      </c>
      <c r="R19" s="4"/>
    </row>
    <row r="20" spans="1:18" x14ac:dyDescent="0.25">
      <c r="H20" t="str">
        <f>LEFT($R$2,11)&amp;RIGHT(R17,2)</f>
        <v>0000008020402</v>
      </c>
      <c r="Q20" t="str">
        <f>LEFT($R$2,11)&amp;RIGHT(R17,2)</f>
        <v>0000008020402</v>
      </c>
      <c r="R20" s="4"/>
    </row>
    <row r="21" spans="1:18" x14ac:dyDescent="0.25">
      <c r="H21" t="str">
        <f>LEFT($R$2,11)&amp;RIGHT(R17,2)</f>
        <v>0000008020402</v>
      </c>
      <c r="Q21" t="str">
        <f>LEFT($R$2,11)&amp;RIGHT(R17,2)</f>
        <v>0000008020402</v>
      </c>
      <c r="R21" s="4"/>
    </row>
    <row r="22" spans="1:18" x14ac:dyDescent="0.25">
      <c r="H22" t="str">
        <f>LEFT($R$2,11)&amp;RIGHT(R17,2)</f>
        <v>0000008020402</v>
      </c>
      <c r="Q22" t="str">
        <f>LEFT($R$2,11)&amp;RIGHT(R17,2)</f>
        <v>0000008020402</v>
      </c>
      <c r="R22" s="4"/>
    </row>
    <row r="23" spans="1:18" x14ac:dyDescent="0.25">
      <c r="H23" t="str">
        <f>LEFT($R$2,11)&amp;RIGHT(R17,2)</f>
        <v>0000008020402</v>
      </c>
      <c r="Q23" t="str">
        <f>LEFT($R$2,11)&amp;RIGHT(R17,2)</f>
        <v>0000008020402</v>
      </c>
      <c r="R23" s="4"/>
    </row>
    <row r="24" spans="1:18" ht="15.75" thickBot="1" x14ac:dyDescent="0.3">
      <c r="A24" s="2"/>
      <c r="B24" s="2"/>
      <c r="C24" s="2"/>
      <c r="D24" s="2"/>
      <c r="E24" s="2"/>
      <c r="F24" s="2"/>
      <c r="G24" s="2"/>
      <c r="H24" s="2" t="str">
        <f>LEFT($R$2,11)&amp;RIGHT(R17,2)</f>
        <v>0000008020402</v>
      </c>
      <c r="I24" s="2"/>
      <c r="J24" s="2"/>
      <c r="K24" s="2"/>
      <c r="L24" s="2"/>
      <c r="M24" s="2"/>
      <c r="N24" s="2"/>
      <c r="O24" s="2"/>
      <c r="P24" s="2"/>
      <c r="Q24" s="2" t="str">
        <f>LEFT($R$2,11)&amp;RIGHT(R17,2)</f>
        <v>0000008020402</v>
      </c>
      <c r="R24" s="1"/>
    </row>
    <row r="25" spans="1:18" ht="15" customHeight="1" x14ac:dyDescent="0.25">
      <c r="A25" s="7" t="str" cm="1">
        <f t="array" ref="A25">_xlfn.ANCHORARRAY(A17)</f>
        <v/>
      </c>
      <c r="B25" s="7"/>
      <c r="C25" s="7"/>
      <c r="D25" s="7"/>
      <c r="E25" s="7"/>
      <c r="F25" s="7"/>
      <c r="G25" s="7"/>
      <c r="H25" s="7" t="str">
        <f>LEFT($R$2,11)&amp;RIGHT(R25,2)</f>
        <v>0000008020403</v>
      </c>
      <c r="I25" s="7"/>
      <c r="J25" s="7" t="str" cm="1">
        <f t="array" ref="J25">_xlfn.ANCHORARRAY(J17)</f>
        <v/>
      </c>
      <c r="K25" s="7"/>
      <c r="L25" s="7"/>
      <c r="M25" s="7"/>
      <c r="N25" s="7"/>
      <c r="O25" s="7"/>
      <c r="P25" s="7"/>
      <c r="Q25" s="7" t="str">
        <f>LEFT($R$2,11)&amp;RIGHT(R25,2)</f>
        <v>0000008020403</v>
      </c>
      <c r="R25" s="6" t="s">
        <v>6</v>
      </c>
    </row>
    <row r="26" spans="1:18" x14ac:dyDescent="0.25">
      <c r="H26" t="str">
        <f>LEFT($R$2,11)&amp;RIGHT(R25,2)</f>
        <v>0000008020403</v>
      </c>
      <c r="Q26" t="str">
        <f>LEFT($R$2,11)&amp;RIGHT(R25,2)</f>
        <v>0000008020403</v>
      </c>
      <c r="R26" s="4"/>
    </row>
    <row r="27" spans="1:18" x14ac:dyDescent="0.25">
      <c r="H27" t="str">
        <f>LEFT($R$2,11)&amp;RIGHT(R25,2)</f>
        <v>0000008020403</v>
      </c>
      <c r="Q27" t="str">
        <f>LEFT($R$2,11)&amp;RIGHT(R25,2)</f>
        <v>0000008020403</v>
      </c>
      <c r="R27" s="4"/>
    </row>
    <row r="28" spans="1:18" x14ac:dyDescent="0.25">
      <c r="H28" t="str">
        <f>LEFT($R$2,11)&amp;RIGHT(R25,2)</f>
        <v>0000008020403</v>
      </c>
      <c r="Q28" t="str">
        <f>LEFT($R$2,11)&amp;RIGHT(R25,2)</f>
        <v>0000008020403</v>
      </c>
      <c r="R28" s="4"/>
    </row>
    <row r="29" spans="1:18" x14ac:dyDescent="0.25">
      <c r="H29" t="str">
        <f>LEFT($R$2,11)&amp;RIGHT(R25,2)</f>
        <v>0000008020403</v>
      </c>
      <c r="Q29" t="str">
        <f>LEFT($R$2,11)&amp;RIGHT(R25,2)</f>
        <v>0000008020403</v>
      </c>
      <c r="R29" s="4"/>
    </row>
    <row r="30" spans="1:18" x14ac:dyDescent="0.25">
      <c r="H30" t="str">
        <f>LEFT($R$2,11)&amp;RIGHT(R25,2)</f>
        <v>0000008020403</v>
      </c>
      <c r="Q30" t="str">
        <f>LEFT($R$2,11)&amp;RIGHT(R25,2)</f>
        <v>0000008020403</v>
      </c>
      <c r="R30" s="4"/>
    </row>
    <row r="31" spans="1:18" x14ac:dyDescent="0.25">
      <c r="H31" t="str">
        <f>LEFT($R$2,11)&amp;RIGHT(R25,2)</f>
        <v>0000008020403</v>
      </c>
      <c r="Q31" t="str">
        <f>LEFT($R$2,11)&amp;RIGHT(R25,2)</f>
        <v>0000008020403</v>
      </c>
      <c r="R31" s="4"/>
    </row>
    <row r="32" spans="1:18" ht="15.75" thickBot="1" x14ac:dyDescent="0.3">
      <c r="A32" s="2"/>
      <c r="B32" s="2"/>
      <c r="C32" s="2"/>
      <c r="D32" s="2"/>
      <c r="E32" s="2"/>
      <c r="F32" s="2"/>
      <c r="G32" s="2"/>
      <c r="H32" s="2" t="str">
        <f>LEFT($R$2,11)&amp;RIGHT(R25,2)</f>
        <v>0000008020403</v>
      </c>
      <c r="I32" s="2"/>
      <c r="J32" s="2"/>
      <c r="K32" s="2"/>
      <c r="L32" s="2"/>
      <c r="M32" s="2"/>
      <c r="N32" s="2"/>
      <c r="O32" s="2"/>
      <c r="P32" s="2"/>
      <c r="Q32" s="2" t="str">
        <f>LEFT($R$2,11)&amp;RIGHT(R25,2)</f>
        <v>0000008020403</v>
      </c>
      <c r="R32" s="1"/>
    </row>
    <row r="33" spans="1:18" ht="15" customHeight="1" x14ac:dyDescent="0.25">
      <c r="A33" s="7" t="str" cm="1">
        <f t="array" ref="A33">_xlfn.ANCHORARRAY(A25)</f>
        <v/>
      </c>
      <c r="B33" s="7"/>
      <c r="C33" s="7"/>
      <c r="D33" s="7"/>
      <c r="E33" s="7"/>
      <c r="F33" s="7"/>
      <c r="G33" s="7"/>
      <c r="H33" s="7" t="str">
        <f>LEFT($R$2,11)&amp;RIGHT(R33,2)</f>
        <v>0000008020404</v>
      </c>
      <c r="I33" s="7"/>
      <c r="J33" s="7" t="str" cm="1">
        <f t="array" ref="J33">_xlfn.ANCHORARRAY(J25)</f>
        <v/>
      </c>
      <c r="K33" s="7"/>
      <c r="L33" s="7"/>
      <c r="M33" s="7"/>
      <c r="N33" s="7"/>
      <c r="O33" s="7"/>
      <c r="P33" s="7"/>
      <c r="Q33" s="7" t="str">
        <f>LEFT($R$2,11)&amp;RIGHT(R33,2)</f>
        <v>0000008020404</v>
      </c>
      <c r="R33" s="6" t="s">
        <v>5</v>
      </c>
    </row>
    <row r="34" spans="1:18" x14ac:dyDescent="0.25">
      <c r="H34" t="str">
        <f>LEFT($R$2,11)&amp;RIGHT(R33,2)</f>
        <v>0000008020404</v>
      </c>
      <c r="Q34" t="str">
        <f>LEFT($R$2,11)&amp;RIGHT(R33,2)</f>
        <v>0000008020404</v>
      </c>
      <c r="R34" s="4"/>
    </row>
    <row r="35" spans="1:18" x14ac:dyDescent="0.25">
      <c r="H35" t="str">
        <f>LEFT($R$2,11)&amp;RIGHT(R33,2)</f>
        <v>0000008020404</v>
      </c>
      <c r="Q35" t="str">
        <f>LEFT($R$2,11)&amp;RIGHT(R33,2)</f>
        <v>0000008020404</v>
      </c>
      <c r="R35" s="4"/>
    </row>
    <row r="36" spans="1:18" x14ac:dyDescent="0.25">
      <c r="H36" t="str">
        <f>LEFT($R$2,11)&amp;RIGHT(R33,2)</f>
        <v>0000008020404</v>
      </c>
      <c r="Q36" t="str">
        <f>LEFT($R$2,11)&amp;RIGHT(R33,2)</f>
        <v>0000008020404</v>
      </c>
      <c r="R36" s="4"/>
    </row>
    <row r="37" spans="1:18" x14ac:dyDescent="0.25">
      <c r="H37" t="str">
        <f>LEFT($R$2,11)&amp;RIGHT(R33,2)</f>
        <v>0000008020404</v>
      </c>
      <c r="Q37" t="str">
        <f>LEFT($R$2,11)&amp;RIGHT(R33,2)</f>
        <v>0000008020404</v>
      </c>
      <c r="R37" s="4"/>
    </row>
    <row r="38" spans="1:18" x14ac:dyDescent="0.25">
      <c r="H38" t="str">
        <f>LEFT($R$2,11)&amp;RIGHT(R33,2)</f>
        <v>0000008020404</v>
      </c>
      <c r="Q38" t="str">
        <f>LEFT($R$2,11)&amp;RIGHT(R33,2)</f>
        <v>0000008020404</v>
      </c>
      <c r="R38" s="4"/>
    </row>
    <row r="39" spans="1:18" x14ac:dyDescent="0.25">
      <c r="H39" t="str">
        <f>LEFT($R$2,11)&amp;RIGHT(R33,2)</f>
        <v>0000008020404</v>
      </c>
      <c r="Q39" t="str">
        <f>LEFT($R$2,11)&amp;RIGHT(R33,2)</f>
        <v>0000008020404</v>
      </c>
      <c r="R39" s="4"/>
    </row>
    <row r="40" spans="1:18" ht="15.75" thickBot="1" x14ac:dyDescent="0.3">
      <c r="A40" s="2"/>
      <c r="B40" s="2"/>
      <c r="C40" s="2"/>
      <c r="D40" s="2"/>
      <c r="E40" s="2"/>
      <c r="F40" s="2"/>
      <c r="G40" s="2"/>
      <c r="H40" s="2" t="str">
        <f>LEFT($R$2,11)&amp;RIGHT(R33,2)</f>
        <v>0000008020404</v>
      </c>
      <c r="I40" s="2"/>
      <c r="J40" s="2"/>
      <c r="K40" s="2"/>
      <c r="L40" s="2"/>
      <c r="M40" s="2"/>
      <c r="N40" s="2"/>
      <c r="O40" s="2"/>
      <c r="P40" s="2"/>
      <c r="Q40" s="2" t="str">
        <f>LEFT($R$2,11)&amp;RIGHT(R33,2)</f>
        <v>0000008020404</v>
      </c>
      <c r="R40" s="1"/>
    </row>
    <row r="41" spans="1:18" ht="15" customHeight="1" x14ac:dyDescent="0.25">
      <c r="A41" s="7" t="str" cm="1">
        <f t="array" ref="A41">_xlfn.ANCHORARRAY(A33)</f>
        <v/>
      </c>
      <c r="B41" s="7"/>
      <c r="C41" s="7"/>
      <c r="D41" s="7"/>
      <c r="E41" s="7"/>
      <c r="F41" s="7"/>
      <c r="G41" s="7"/>
      <c r="H41" s="7" t="str">
        <f>LEFT($R$2,11)&amp;RIGHT(R41,2)</f>
        <v>0000008020405</v>
      </c>
      <c r="I41" s="7"/>
      <c r="J41" s="7" t="str" cm="1">
        <f t="array" ref="J41">_xlfn.ANCHORARRAY(J33)</f>
        <v/>
      </c>
      <c r="K41" s="7"/>
      <c r="L41" s="7"/>
      <c r="M41" s="7"/>
      <c r="N41" s="7"/>
      <c r="O41" s="7"/>
      <c r="P41" s="7"/>
      <c r="Q41" s="7" t="str">
        <f>LEFT($R$2,11)&amp;RIGHT(R41,2)</f>
        <v>0000008020405</v>
      </c>
      <c r="R41" s="6" t="s">
        <v>4</v>
      </c>
    </row>
    <row r="42" spans="1:18" x14ac:dyDescent="0.25">
      <c r="H42" t="str">
        <f>LEFT($R$2,11)&amp;RIGHT(R41,2)</f>
        <v>0000008020405</v>
      </c>
      <c r="Q42" t="str">
        <f>LEFT($R$2,11)&amp;RIGHT(R41,2)</f>
        <v>0000008020405</v>
      </c>
      <c r="R42" s="4"/>
    </row>
    <row r="43" spans="1:18" x14ac:dyDescent="0.25">
      <c r="H43" t="str">
        <f>LEFT($R$2,11)&amp;RIGHT(R41,2)</f>
        <v>0000008020405</v>
      </c>
      <c r="Q43" t="str">
        <f>LEFT($R$2,11)&amp;RIGHT(R41,2)</f>
        <v>0000008020405</v>
      </c>
      <c r="R43" s="4"/>
    </row>
    <row r="44" spans="1:18" x14ac:dyDescent="0.25">
      <c r="H44" t="str">
        <f>LEFT($R$2,11)&amp;RIGHT(R41,2)</f>
        <v>0000008020405</v>
      </c>
      <c r="Q44" t="str">
        <f>LEFT($R$2,11)&amp;RIGHT(R41,2)</f>
        <v>0000008020405</v>
      </c>
      <c r="R44" s="4"/>
    </row>
    <row r="45" spans="1:18" x14ac:dyDescent="0.25">
      <c r="H45" t="str">
        <f>LEFT($R$2,11)&amp;RIGHT(R41,2)</f>
        <v>0000008020405</v>
      </c>
      <c r="Q45" t="str">
        <f>LEFT($R$2,11)&amp;RIGHT(R41,2)</f>
        <v>0000008020405</v>
      </c>
      <c r="R45" s="4"/>
    </row>
    <row r="46" spans="1:18" x14ac:dyDescent="0.25">
      <c r="H46" t="str">
        <f>LEFT($R$2,11)&amp;RIGHT(R41,2)</f>
        <v>0000008020405</v>
      </c>
      <c r="Q46" t="str">
        <f>LEFT($R$2,11)&amp;RIGHT(R41,2)</f>
        <v>0000008020405</v>
      </c>
      <c r="R46" s="4"/>
    </row>
    <row r="47" spans="1:18" x14ac:dyDescent="0.25">
      <c r="H47" t="str">
        <f>LEFT($R$2,11)&amp;RIGHT(R41,2)</f>
        <v>0000008020405</v>
      </c>
      <c r="Q47" t="str">
        <f>LEFT($R$2,11)&amp;RIGHT(R41,2)</f>
        <v>0000008020405</v>
      </c>
      <c r="R47" s="4"/>
    </row>
    <row r="48" spans="1:18" ht="15.75" thickBot="1" x14ac:dyDescent="0.3">
      <c r="A48" s="2"/>
      <c r="B48" s="2"/>
      <c r="C48" s="2"/>
      <c r="D48" s="2"/>
      <c r="E48" s="2"/>
      <c r="F48" s="2"/>
      <c r="G48" s="2"/>
      <c r="H48" s="2" t="str">
        <f>LEFT($R$2,11)&amp;RIGHT(R41,2)</f>
        <v>0000008020405</v>
      </c>
      <c r="I48" s="2"/>
      <c r="J48" s="2"/>
      <c r="K48" s="2"/>
      <c r="L48" s="2"/>
      <c r="M48" s="2"/>
      <c r="N48" s="2"/>
      <c r="O48" s="2"/>
      <c r="P48" s="2"/>
      <c r="Q48" s="2" t="str">
        <f>LEFT($R$2,11)&amp;RIGHT(R41,2)</f>
        <v>0000008020405</v>
      </c>
      <c r="R48" s="1"/>
    </row>
    <row r="49" spans="1:18" ht="15" customHeight="1" x14ac:dyDescent="0.25">
      <c r="A49" s="7" t="str" cm="1">
        <f t="array" ref="A49">_xlfn.ANCHORARRAY(A41)</f>
        <v/>
      </c>
      <c r="B49" s="7"/>
      <c r="C49" s="7"/>
      <c r="D49" s="7"/>
      <c r="E49" s="7"/>
      <c r="F49" s="7"/>
      <c r="G49" s="7"/>
      <c r="H49" s="7" t="str">
        <f>LEFT($R$2,11)&amp;RIGHT(R49,2)</f>
        <v>0000008020406</v>
      </c>
      <c r="I49" s="7"/>
      <c r="J49" s="7" t="str" cm="1">
        <f t="array" ref="J49">_xlfn.ANCHORARRAY(J41)</f>
        <v/>
      </c>
      <c r="K49" s="7"/>
      <c r="L49" s="7"/>
      <c r="M49" s="7"/>
      <c r="N49" s="7"/>
      <c r="O49" s="7"/>
      <c r="P49" s="7"/>
      <c r="Q49" s="7" t="str">
        <f>LEFT($R$2,11)&amp;RIGHT(R49,2)</f>
        <v>0000008020406</v>
      </c>
      <c r="R49" s="6" t="s">
        <v>3</v>
      </c>
    </row>
    <row r="50" spans="1:18" x14ac:dyDescent="0.25">
      <c r="H50" t="str">
        <f>LEFT($R$2,11)&amp;RIGHT(R49,2)</f>
        <v>0000008020406</v>
      </c>
      <c r="Q50" t="str">
        <f>LEFT($R$2,11)&amp;RIGHT(R49,2)</f>
        <v>0000008020406</v>
      </c>
      <c r="R50" s="4"/>
    </row>
    <row r="51" spans="1:18" x14ac:dyDescent="0.25">
      <c r="H51" t="str">
        <f>LEFT($R$2,11)&amp;RIGHT(R49,2)</f>
        <v>0000008020406</v>
      </c>
      <c r="Q51" t="str">
        <f>LEFT($R$2,11)&amp;RIGHT(R49,2)</f>
        <v>0000008020406</v>
      </c>
      <c r="R51" s="4"/>
    </row>
    <row r="52" spans="1:18" x14ac:dyDescent="0.25">
      <c r="H52" t="str">
        <f>LEFT($R$2,11)&amp;RIGHT(R49,2)</f>
        <v>0000008020406</v>
      </c>
      <c r="Q52" t="str">
        <f>LEFT($R$2,11)&amp;RIGHT(R49,2)</f>
        <v>0000008020406</v>
      </c>
      <c r="R52" s="4"/>
    </row>
    <row r="53" spans="1:18" x14ac:dyDescent="0.25">
      <c r="H53" t="str">
        <f>LEFT($R$2,11)&amp;RIGHT(R49,2)</f>
        <v>0000008020406</v>
      </c>
      <c r="Q53" t="str">
        <f>LEFT($R$2,11)&amp;RIGHT(R49,2)</f>
        <v>0000008020406</v>
      </c>
      <c r="R53" s="4"/>
    </row>
    <row r="54" spans="1:18" x14ac:dyDescent="0.25">
      <c r="H54" t="str">
        <f>LEFT($R$2,11)&amp;RIGHT(R49,2)</f>
        <v>0000008020406</v>
      </c>
      <c r="Q54" t="str">
        <f>LEFT($R$2,11)&amp;RIGHT(R49,2)</f>
        <v>0000008020406</v>
      </c>
      <c r="R54" s="4"/>
    </row>
    <row r="55" spans="1:18" x14ac:dyDescent="0.25">
      <c r="H55" t="str">
        <f>LEFT($R$2,11)&amp;RIGHT(R49,2)</f>
        <v>0000008020406</v>
      </c>
      <c r="Q55" t="str">
        <f>LEFT($R$2,11)&amp;RIGHT(R49,2)</f>
        <v>0000008020406</v>
      </c>
      <c r="R55" s="4"/>
    </row>
    <row r="56" spans="1:18" ht="15.75" thickBot="1" x14ac:dyDescent="0.3">
      <c r="A56" s="2"/>
      <c r="B56" s="2"/>
      <c r="C56" s="2"/>
      <c r="D56" s="2"/>
      <c r="E56" s="2"/>
      <c r="F56" s="2"/>
      <c r="G56" s="2"/>
      <c r="H56" s="2" t="str">
        <f>LEFT($R$2,11)&amp;RIGHT(R49,2)</f>
        <v>0000008020406</v>
      </c>
      <c r="I56" s="2"/>
      <c r="J56" s="2"/>
      <c r="K56" s="2"/>
      <c r="L56" s="2"/>
      <c r="M56" s="2"/>
      <c r="N56" s="2"/>
      <c r="O56" s="2"/>
      <c r="P56" s="2"/>
      <c r="Q56" s="2" t="str">
        <f>LEFT($R$2,11)&amp;RIGHT(R49,2)</f>
        <v>0000008020406</v>
      </c>
      <c r="R56" s="1"/>
    </row>
    <row r="57" spans="1:18" ht="15" customHeight="1" x14ac:dyDescent="0.25">
      <c r="A57" s="7" t="str" cm="1">
        <f t="array" ref="A57">_xlfn.ANCHORARRAY(A49)</f>
        <v/>
      </c>
      <c r="B57" s="7"/>
      <c r="C57" s="7"/>
      <c r="D57" s="7"/>
      <c r="E57" s="7"/>
      <c r="F57" s="7"/>
      <c r="G57" s="7"/>
      <c r="H57" s="7" t="str">
        <f>LEFT($R$2,11)&amp;RIGHT(R57,2)</f>
        <v>0000008020407</v>
      </c>
      <c r="I57" s="7"/>
      <c r="J57" s="7" t="str" cm="1">
        <f t="array" ref="J57">_xlfn.ANCHORARRAY(J49)</f>
        <v/>
      </c>
      <c r="K57" s="7"/>
      <c r="L57" s="7"/>
      <c r="M57" s="7"/>
      <c r="N57" s="7"/>
      <c r="O57" s="7"/>
      <c r="P57" s="7"/>
      <c r="Q57" s="7" t="str">
        <f>LEFT($R$2,11)&amp;RIGHT(R57,2)</f>
        <v>0000008020407</v>
      </c>
      <c r="R57" s="6" t="s">
        <v>2</v>
      </c>
    </row>
    <row r="58" spans="1:18" x14ac:dyDescent="0.25">
      <c r="H58" t="str">
        <f>LEFT($R$2,11)&amp;RIGHT(R57,2)</f>
        <v>0000008020407</v>
      </c>
      <c r="Q58" t="str">
        <f>LEFT($R$2,11)&amp;RIGHT(R57,2)</f>
        <v>0000008020407</v>
      </c>
      <c r="R58" s="4"/>
    </row>
    <row r="59" spans="1:18" x14ac:dyDescent="0.25">
      <c r="H59" t="str">
        <f>LEFT($R$2,11)&amp;RIGHT(R57,2)</f>
        <v>0000008020407</v>
      </c>
      <c r="Q59" t="str">
        <f>LEFT($R$2,11)&amp;RIGHT(R57,2)</f>
        <v>0000008020407</v>
      </c>
      <c r="R59" s="4"/>
    </row>
    <row r="60" spans="1:18" x14ac:dyDescent="0.25">
      <c r="H60" t="str">
        <f>LEFT($R$2,11)&amp;RIGHT(R57,2)</f>
        <v>0000008020407</v>
      </c>
      <c r="Q60" t="str">
        <f>LEFT($R$2,11)&amp;RIGHT(R57,2)</f>
        <v>0000008020407</v>
      </c>
      <c r="R60" s="4"/>
    </row>
    <row r="61" spans="1:18" x14ac:dyDescent="0.25">
      <c r="H61" t="str">
        <f>LEFT($R$2,11)&amp;RIGHT(R57,2)</f>
        <v>0000008020407</v>
      </c>
      <c r="Q61" t="str">
        <f>LEFT($R$2,11)&amp;RIGHT(R57,2)</f>
        <v>0000008020407</v>
      </c>
      <c r="R61" s="4"/>
    </row>
    <row r="62" spans="1:18" x14ac:dyDescent="0.25">
      <c r="H62" t="str">
        <f>LEFT($R$2,11)&amp;RIGHT(R57,2)</f>
        <v>0000008020407</v>
      </c>
      <c r="Q62" t="str">
        <f>LEFT($R$2,11)&amp;RIGHT(R57,2)</f>
        <v>0000008020407</v>
      </c>
      <c r="R62" s="4"/>
    </row>
    <row r="63" spans="1:18" x14ac:dyDescent="0.25">
      <c r="H63" t="str">
        <f>LEFT($R$2,11)&amp;RIGHT(R57,2)</f>
        <v>0000008020407</v>
      </c>
      <c r="Q63" t="str">
        <f>LEFT($R$2,11)&amp;RIGHT(R57,2)</f>
        <v>0000008020407</v>
      </c>
      <c r="R63" s="4"/>
    </row>
    <row r="64" spans="1:18" ht="15.75" thickBot="1" x14ac:dyDescent="0.3">
      <c r="A64" s="2"/>
      <c r="B64" s="2"/>
      <c r="C64" s="2"/>
      <c r="D64" s="2"/>
      <c r="E64" s="2"/>
      <c r="F64" s="2"/>
      <c r="G64" s="2"/>
      <c r="H64" s="2" t="str">
        <f>LEFT($R$2,11)&amp;RIGHT(R57,2)</f>
        <v>0000008020407</v>
      </c>
      <c r="I64" s="2"/>
      <c r="J64" s="2"/>
      <c r="K64" s="2"/>
      <c r="L64" s="2"/>
      <c r="M64" s="2"/>
      <c r="N64" s="2"/>
      <c r="O64" s="2"/>
      <c r="P64" s="2"/>
      <c r="Q64" s="2" t="str">
        <f>LEFT($R$2,11)&amp;RIGHT(R57,2)</f>
        <v>0000008020407</v>
      </c>
      <c r="R64" s="1"/>
    </row>
    <row r="65" spans="1:18" ht="15" customHeight="1" x14ac:dyDescent="0.25">
      <c r="A65" s="7" t="str" cm="1">
        <f t="array" ref="A65">_xlfn.ANCHORARRAY(A57)</f>
        <v/>
      </c>
      <c r="B65" s="7"/>
      <c r="C65" s="7"/>
      <c r="D65" s="7"/>
      <c r="E65" s="7"/>
      <c r="F65" s="7"/>
      <c r="G65" s="7"/>
      <c r="H65" s="7" t="str">
        <f>LEFT($R$2,11)&amp;RIGHT(R65,2)</f>
        <v>0000008020408</v>
      </c>
      <c r="I65" s="7"/>
      <c r="J65" s="7" t="str" cm="1">
        <f t="array" ref="J65">_xlfn.ANCHORARRAY(J57)</f>
        <v/>
      </c>
      <c r="K65" s="7"/>
      <c r="L65" s="7"/>
      <c r="M65" s="7"/>
      <c r="N65" s="7"/>
      <c r="O65" s="7"/>
      <c r="P65" s="7"/>
      <c r="Q65" s="7" t="str">
        <f>LEFT($R$2,11)&amp;RIGHT(R65,2)</f>
        <v>0000008020408</v>
      </c>
      <c r="R65" s="6" t="s">
        <v>1</v>
      </c>
    </row>
    <row r="66" spans="1:18" x14ac:dyDescent="0.25">
      <c r="H66" t="str">
        <f>LEFT($R$2,11)&amp;RIGHT(R65,2)</f>
        <v>0000008020408</v>
      </c>
      <c r="Q66" t="str">
        <f>LEFT($R$2,11)&amp;RIGHT(R65,2)</f>
        <v>0000008020408</v>
      </c>
      <c r="R66" s="4"/>
    </row>
    <row r="67" spans="1:18" x14ac:dyDescent="0.25">
      <c r="H67" t="str">
        <f>LEFT($R$2,11)&amp;RIGHT(R65,2)</f>
        <v>0000008020408</v>
      </c>
      <c r="Q67" t="str">
        <f>LEFT($R$2,11)&amp;RIGHT(R65,2)</f>
        <v>0000008020408</v>
      </c>
      <c r="R67" s="4"/>
    </row>
    <row r="68" spans="1:18" x14ac:dyDescent="0.25">
      <c r="H68" t="str">
        <f>LEFT($R$2,11)&amp;RIGHT(R65,2)</f>
        <v>0000008020408</v>
      </c>
      <c r="Q68" t="str">
        <f>LEFT($R$2,11)&amp;RIGHT(R65,2)</f>
        <v>0000008020408</v>
      </c>
      <c r="R68" s="4"/>
    </row>
    <row r="69" spans="1:18" x14ac:dyDescent="0.25">
      <c r="H69" t="str">
        <f>LEFT($R$2,11)&amp;RIGHT(R65,2)</f>
        <v>0000008020408</v>
      </c>
      <c r="Q69" t="str">
        <f>LEFT($R$2,11)&amp;RIGHT(R65,2)</f>
        <v>0000008020408</v>
      </c>
      <c r="R69" s="4"/>
    </row>
    <row r="70" spans="1:18" x14ac:dyDescent="0.25">
      <c r="H70" t="str">
        <f>LEFT($R$2,11)&amp;RIGHT(R65,2)</f>
        <v>0000008020408</v>
      </c>
      <c r="Q70" t="str">
        <f>LEFT($R$2,11)&amp;RIGHT(R65,2)</f>
        <v>0000008020408</v>
      </c>
      <c r="R70" s="4"/>
    </row>
    <row r="71" spans="1:18" x14ac:dyDescent="0.25">
      <c r="H71" t="str">
        <f>LEFT($R$2,11)&amp;RIGHT(R65,2)</f>
        <v>0000008020408</v>
      </c>
      <c r="Q71" t="str">
        <f>LEFT($R$2,11)&amp;RIGHT(R65,2)</f>
        <v>0000008020408</v>
      </c>
      <c r="R71" s="4"/>
    </row>
    <row r="72" spans="1:18" ht="15.75" thickBot="1" x14ac:dyDescent="0.3">
      <c r="A72" s="2"/>
      <c r="B72" s="2"/>
      <c r="C72" s="2"/>
      <c r="D72" s="2"/>
      <c r="E72" s="2"/>
      <c r="F72" s="2"/>
      <c r="G72" s="2"/>
      <c r="H72" s="2" t="str">
        <f>LEFT($R$2,11)&amp;RIGHT(R65,2)</f>
        <v>0000008020408</v>
      </c>
      <c r="I72" s="2"/>
      <c r="J72" s="2"/>
      <c r="K72" s="2"/>
      <c r="L72" s="2"/>
      <c r="M72" s="2"/>
      <c r="N72" s="2"/>
      <c r="O72" s="2"/>
      <c r="P72" s="2"/>
      <c r="Q72" s="2" t="str">
        <f>LEFT($R$2,11)&amp;RIGHT(R65,2)</f>
        <v>0000008020408</v>
      </c>
      <c r="R72" s="1"/>
    </row>
    <row r="73" spans="1:18" ht="15" customHeight="1" x14ac:dyDescent="0.25">
      <c r="A73" s="8" t="str" cm="1">
        <f t="array" ref="A73">_xlfn.ANCHORARRAY(A65)</f>
        <v/>
      </c>
      <c r="B73" s="7"/>
      <c r="C73" s="7"/>
      <c r="D73" s="7"/>
      <c r="E73" s="7"/>
      <c r="F73" s="7"/>
      <c r="G73" s="7"/>
      <c r="H73" s="7" t="str">
        <f>LEFT($R$2,11)&amp;RIGHT(R73,2)</f>
        <v>0000008020409</v>
      </c>
      <c r="I73" s="7"/>
      <c r="J73" s="8" t="str" cm="1">
        <f t="array" ref="J73">_xlfn.ANCHORARRAY(J65)</f>
        <v/>
      </c>
      <c r="K73" s="7"/>
      <c r="L73" s="7"/>
      <c r="M73" s="7"/>
      <c r="N73" s="7"/>
      <c r="O73" s="7"/>
      <c r="P73" s="7"/>
      <c r="Q73" s="7" t="str">
        <f>LEFT($R$2,11)&amp;RIGHT(R73,2)</f>
        <v>0000008020409</v>
      </c>
      <c r="R73" s="6" t="s">
        <v>0</v>
      </c>
    </row>
    <row r="74" spans="1:18" x14ac:dyDescent="0.25">
      <c r="A74" s="5"/>
      <c r="H74" t="str">
        <f>LEFT($R$2,11)&amp;RIGHT(R73,2)</f>
        <v>0000008020409</v>
      </c>
      <c r="J74" s="5"/>
      <c r="Q74" t="str">
        <f>LEFT($R$2,11)&amp;RIGHT(R73,2)</f>
        <v>0000008020409</v>
      </c>
      <c r="R74" s="4"/>
    </row>
    <row r="75" spans="1:18" x14ac:dyDescent="0.25">
      <c r="A75" s="5"/>
      <c r="H75" t="str">
        <f>LEFT($R$2,11)&amp;RIGHT(R73,2)</f>
        <v>0000008020409</v>
      </c>
      <c r="J75" s="5"/>
      <c r="Q75" t="str">
        <f>LEFT($R$2,11)&amp;RIGHT(R73,2)</f>
        <v>0000008020409</v>
      </c>
      <c r="R75" s="4"/>
    </row>
    <row r="76" spans="1:18" x14ac:dyDescent="0.25">
      <c r="A76" s="5"/>
      <c r="H76" t="str">
        <f>LEFT($R$2,11)&amp;RIGHT(R73,2)</f>
        <v>0000008020409</v>
      </c>
      <c r="J76" s="5"/>
      <c r="Q76" t="str">
        <f>LEFT($R$2,11)&amp;RIGHT(R73,2)</f>
        <v>0000008020409</v>
      </c>
      <c r="R76" s="4"/>
    </row>
    <row r="77" spans="1:18" x14ac:dyDescent="0.25">
      <c r="A77" s="5"/>
      <c r="H77" t="str">
        <f>LEFT($R$2,11)&amp;RIGHT(R73,2)</f>
        <v>0000008020409</v>
      </c>
      <c r="J77" s="5"/>
      <c r="Q77" t="str">
        <f>LEFT($R$2,11)&amp;RIGHT(R73,2)</f>
        <v>0000008020409</v>
      </c>
      <c r="R77" s="4"/>
    </row>
    <row r="78" spans="1:18" x14ac:dyDescent="0.25">
      <c r="A78" s="5"/>
      <c r="H78" t="str">
        <f>LEFT($R$2,11)&amp;RIGHT(R73,2)</f>
        <v>0000008020409</v>
      </c>
      <c r="J78" s="5"/>
      <c r="Q78" t="str">
        <f>LEFT($R$2,11)&amp;RIGHT(R73,2)</f>
        <v>0000008020409</v>
      </c>
      <c r="R78" s="4"/>
    </row>
    <row r="79" spans="1:18" x14ac:dyDescent="0.25">
      <c r="A79" s="5"/>
      <c r="H79" t="str">
        <f>LEFT($R$2,11)&amp;RIGHT(R73,2)</f>
        <v>0000008020409</v>
      </c>
      <c r="J79" s="5"/>
      <c r="Q79" t="str">
        <f>LEFT($R$2,11)&amp;RIGHT(R73,2)</f>
        <v>0000008020409</v>
      </c>
      <c r="R79" s="4"/>
    </row>
    <row r="80" spans="1:18" ht="15.75" thickBot="1" x14ac:dyDescent="0.3">
      <c r="A80" s="3"/>
      <c r="B80" s="2"/>
      <c r="C80" s="2"/>
      <c r="D80" s="2"/>
      <c r="E80" s="2"/>
      <c r="F80" s="2"/>
      <c r="G80" s="2"/>
      <c r="H80" s="2" t="str">
        <f>LEFT($R$2,11)&amp;RIGHT(R73,2)</f>
        <v>0000008020409</v>
      </c>
      <c r="I80" s="2"/>
      <c r="J80" s="3"/>
      <c r="K80" s="2"/>
      <c r="L80" s="2"/>
      <c r="M80" s="2"/>
      <c r="N80" s="2"/>
      <c r="O80" s="2"/>
      <c r="P80" s="2"/>
      <c r="Q80" s="2" t="str">
        <f>LEFT($R$2,11)&amp;RIGHT(R73,2)</f>
        <v>0000008020409</v>
      </c>
      <c r="R80" s="1"/>
    </row>
  </sheetData>
  <conditionalFormatting sqref="A1:R1048576">
    <cfRule type="expression" dxfId="0" priority="1">
      <formula>_xlfn.ISFORMULA(A1)</formula>
    </cfRule>
  </conditionalFormatting>
  <dataValidations count="2">
    <dataValidation type="list" allowBlank="1" showInputMessage="1" showErrorMessage="1" sqref="B9:B80 K9:K80" xr:uid="{D1C45858-E6F1-4C45-A163-D0B12C127102}">
      <formula1>INDIRECT("Weapon[Nick]")</formula1>
    </dataValidation>
    <dataValidation type="list" allowBlank="1" showInputMessage="1" showErrorMessage="1" sqref="B5:B6" xr:uid="{E4366750-A9EA-47A5-943E-4F0BF46B855F}">
      <formula1>Teams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Shiraki, David Kainoa</dc:creator>
  <cp:lastModifiedBy>Shiraki, David Kainoa</cp:lastModifiedBy>
  <dcterms:created xsi:type="dcterms:W3CDTF">2023-09-30T22:39:47Z</dcterms:created>
  <dcterms:modified xsi:type="dcterms:W3CDTF">2023-09-30T22:41:26Z</dcterms:modified>
</cp:coreProperties>
</file>